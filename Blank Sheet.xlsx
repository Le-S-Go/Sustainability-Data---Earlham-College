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s\Downloads\"/>
    </mc:Choice>
  </mc:AlternateContent>
  <xr:revisionPtr revIDLastSave="0" documentId="13_ncr:1_{EEA67195-2D94-43FB-9427-C04960B53A7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Water" sheetId="1" r:id="rId1"/>
    <sheet name="Verifying Water Meters" sheetId="5" r:id="rId2"/>
    <sheet name="Electricity" sheetId="2" r:id="rId3"/>
    <sheet name="Natural Gas" sheetId="3" r:id="rId4"/>
    <sheet name="Wastewater" sheetId="4" r:id="rId5"/>
  </sheets>
  <definedNames>
    <definedName name="_xlnm._FilterDatabase" localSheetId="0" hidden="1">Water!$D$4:$D$88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" i="2" l="1"/>
  <c r="AO17" i="2"/>
  <c r="AN17" i="2"/>
  <c r="AM17" i="2"/>
  <c r="AL17" i="2"/>
  <c r="AK17" i="2"/>
  <c r="AJ17" i="2"/>
  <c r="AI17" i="2"/>
  <c r="AH17" i="2"/>
  <c r="AO16" i="2"/>
  <c r="AN16" i="2"/>
  <c r="AM16" i="2"/>
  <c r="AL16" i="2"/>
  <c r="AK16" i="2"/>
  <c r="AJ16" i="2"/>
  <c r="AI16" i="2"/>
  <c r="AH16" i="2"/>
  <c r="AO15" i="2"/>
  <c r="AN15" i="2"/>
  <c r="AM15" i="2"/>
  <c r="AL15" i="2"/>
  <c r="AK15" i="2"/>
  <c r="AJ15" i="2"/>
  <c r="AI15" i="2"/>
  <c r="AH15" i="2"/>
  <c r="AO14" i="2"/>
  <c r="AN14" i="2"/>
  <c r="AM14" i="2"/>
  <c r="AL14" i="2"/>
  <c r="AK14" i="2"/>
  <c r="AJ14" i="2"/>
  <c r="AI14" i="2"/>
  <c r="AH14" i="2"/>
  <c r="AO13" i="2"/>
  <c r="AN13" i="2"/>
  <c r="AM13" i="2"/>
  <c r="AL13" i="2"/>
  <c r="AK13" i="2"/>
  <c r="AJ13" i="2"/>
  <c r="AI13" i="2"/>
  <c r="AH13" i="2"/>
  <c r="AO12" i="2"/>
  <c r="AN12" i="2"/>
  <c r="AM12" i="2"/>
  <c r="AL12" i="2"/>
  <c r="AK12" i="2"/>
  <c r="AJ12" i="2"/>
  <c r="AI12" i="2"/>
  <c r="AH12" i="2"/>
  <c r="AO11" i="2"/>
  <c r="AN11" i="2"/>
  <c r="AM11" i="2"/>
  <c r="AL11" i="2"/>
  <c r="AK11" i="2"/>
  <c r="AJ11" i="2"/>
  <c r="AI11" i="2"/>
  <c r="AH11" i="2"/>
  <c r="AO10" i="2"/>
  <c r="AN10" i="2"/>
  <c r="AM10" i="2"/>
  <c r="AL10" i="2"/>
  <c r="AK10" i="2"/>
  <c r="AJ10" i="2"/>
  <c r="AI10" i="2"/>
  <c r="AH10" i="2"/>
  <c r="AO9" i="2"/>
  <c r="AN9" i="2"/>
  <c r="AM9" i="2"/>
  <c r="AL9" i="2"/>
  <c r="AK9" i="2"/>
  <c r="AJ9" i="2"/>
  <c r="AI9" i="2"/>
  <c r="AH9" i="2"/>
  <c r="AO8" i="2"/>
  <c r="AN8" i="2"/>
  <c r="AM8" i="2"/>
  <c r="AL8" i="2"/>
  <c r="AK8" i="2"/>
  <c r="AJ8" i="2"/>
  <c r="AI8" i="2"/>
  <c r="AH8" i="2"/>
  <c r="AO7" i="2"/>
  <c r="AN7" i="2"/>
  <c r="AM7" i="2"/>
  <c r="AL7" i="2"/>
  <c r="AK7" i="2"/>
  <c r="AK18" i="2" s="1"/>
  <c r="AJ7" i="2"/>
  <c r="AI7" i="2"/>
  <c r="AH7" i="2"/>
  <c r="AO6" i="2"/>
  <c r="AO18" i="2" s="1"/>
  <c r="AN6" i="2"/>
  <c r="AM6" i="2"/>
  <c r="AM18" i="2" s="1"/>
  <c r="AL6" i="2"/>
  <c r="AL18" i="2" s="1"/>
  <c r="AJ6" i="2"/>
  <c r="AJ18" i="2" s="1"/>
  <c r="AI6" i="2"/>
  <c r="AI18" i="2" s="1"/>
  <c r="AH6" i="2"/>
  <c r="M3" i="1"/>
  <c r="K3" i="1"/>
  <c r="AN17" i="3"/>
  <c r="AM17" i="3"/>
  <c r="AL17" i="3"/>
  <c r="AK17" i="3"/>
  <c r="AJ17" i="3"/>
  <c r="AI17" i="3"/>
  <c r="AH17" i="3"/>
  <c r="AN16" i="3"/>
  <c r="AM16" i="3"/>
  <c r="AL16" i="3"/>
  <c r="AK16" i="3"/>
  <c r="AJ16" i="3"/>
  <c r="AI16" i="3"/>
  <c r="AH16" i="3"/>
  <c r="AN15" i="3"/>
  <c r="AM15" i="3"/>
  <c r="AL15" i="3"/>
  <c r="AK15" i="3"/>
  <c r="AJ15" i="3"/>
  <c r="AI15" i="3"/>
  <c r="AH15" i="3"/>
  <c r="AN14" i="3"/>
  <c r="AM14" i="3"/>
  <c r="AL14" i="3"/>
  <c r="AK14" i="3"/>
  <c r="AJ14" i="3"/>
  <c r="AI14" i="3"/>
  <c r="AH14" i="3"/>
  <c r="AN13" i="3"/>
  <c r="AM13" i="3"/>
  <c r="AL13" i="3"/>
  <c r="AK13" i="3"/>
  <c r="AJ13" i="3"/>
  <c r="AI13" i="3"/>
  <c r="AH13" i="3"/>
  <c r="AN12" i="3"/>
  <c r="AM12" i="3"/>
  <c r="AL12" i="3"/>
  <c r="AK12" i="3"/>
  <c r="AJ12" i="3"/>
  <c r="AI12" i="3"/>
  <c r="AH12" i="3"/>
  <c r="AN11" i="3"/>
  <c r="AM11" i="3"/>
  <c r="AL11" i="3"/>
  <c r="AK11" i="3"/>
  <c r="AJ11" i="3"/>
  <c r="AI11" i="3"/>
  <c r="AH11" i="3"/>
  <c r="AN10" i="3"/>
  <c r="AM10" i="3"/>
  <c r="AL10" i="3"/>
  <c r="AK10" i="3"/>
  <c r="AJ10" i="3"/>
  <c r="AI10" i="3"/>
  <c r="AH10" i="3"/>
  <c r="AN9" i="3"/>
  <c r="AM9" i="3"/>
  <c r="AL9" i="3"/>
  <c r="AK9" i="3"/>
  <c r="AJ9" i="3"/>
  <c r="AI9" i="3"/>
  <c r="AH9" i="3"/>
  <c r="AN8" i="3"/>
  <c r="AM8" i="3"/>
  <c r="AL8" i="3"/>
  <c r="AK8" i="3"/>
  <c r="AJ8" i="3"/>
  <c r="AI8" i="3"/>
  <c r="AH8" i="3"/>
  <c r="AN7" i="3"/>
  <c r="AM7" i="3"/>
  <c r="AL7" i="3"/>
  <c r="AK7" i="3"/>
  <c r="AJ7" i="3"/>
  <c r="AI7" i="3"/>
  <c r="AH7" i="3"/>
  <c r="AN6" i="3"/>
  <c r="AM6" i="3"/>
  <c r="AM18" i="3" s="1"/>
  <c r="AL6" i="3"/>
  <c r="AL18" i="3" s="1"/>
  <c r="AK6" i="3"/>
  <c r="AJ6" i="3"/>
  <c r="AI6" i="3"/>
  <c r="AH6" i="3"/>
  <c r="I3" i="2"/>
  <c r="V2" i="2"/>
  <c r="AK14" i="1"/>
  <c r="R2" i="2"/>
  <c r="T2" i="2"/>
  <c r="AM17" i="1"/>
  <c r="AM16" i="1"/>
  <c r="AM15" i="1"/>
  <c r="AM14" i="1"/>
  <c r="AM13" i="1"/>
  <c r="AM12" i="1"/>
  <c r="AM11" i="1"/>
  <c r="AM10" i="1"/>
  <c r="AM9" i="1"/>
  <c r="AM8" i="1"/>
  <c r="AM7" i="1"/>
  <c r="AM6" i="1"/>
  <c r="AO17" i="1"/>
  <c r="AO16" i="1"/>
  <c r="AO15" i="1"/>
  <c r="AO14" i="1"/>
  <c r="AO13" i="1"/>
  <c r="AO12" i="1"/>
  <c r="AO11" i="1"/>
  <c r="AO10" i="1"/>
  <c r="AO9" i="1"/>
  <c r="AO8" i="1"/>
  <c r="AO7" i="1"/>
  <c r="AO6" i="1"/>
  <c r="AP17" i="1"/>
  <c r="AP16" i="1"/>
  <c r="AP15" i="1"/>
  <c r="AP14" i="1"/>
  <c r="AP13" i="1"/>
  <c r="AP12" i="1"/>
  <c r="AP11" i="1"/>
  <c r="AP10" i="1"/>
  <c r="AP9" i="1"/>
  <c r="AP8" i="1"/>
  <c r="AP7" i="1"/>
  <c r="AP6" i="1"/>
  <c r="AN17" i="1"/>
  <c r="AN16" i="1"/>
  <c r="AN15" i="1"/>
  <c r="AN14" i="1"/>
  <c r="AN13" i="1"/>
  <c r="AN12" i="1"/>
  <c r="AN11" i="1"/>
  <c r="AN10" i="1"/>
  <c r="AN9" i="1"/>
  <c r="AN8" i="1"/>
  <c r="AN7" i="1"/>
  <c r="AN6" i="1"/>
  <c r="AL17" i="1"/>
  <c r="AL16" i="1"/>
  <c r="AL15" i="1"/>
  <c r="AL14" i="1"/>
  <c r="AL13" i="1"/>
  <c r="AL12" i="1"/>
  <c r="AL11" i="1"/>
  <c r="AL10" i="1"/>
  <c r="AL9" i="1"/>
  <c r="AL8" i="1"/>
  <c r="AL7" i="1"/>
  <c r="AL6" i="1"/>
  <c r="AK17" i="1"/>
  <c r="AK16" i="1"/>
  <c r="AK15" i="1"/>
  <c r="AK13" i="1"/>
  <c r="AK12" i="1"/>
  <c r="AK11" i="1"/>
  <c r="AK10" i="1"/>
  <c r="AK9" i="1"/>
  <c r="AK8" i="1"/>
  <c r="AK7" i="1"/>
  <c r="AK6" i="1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I10" i="4"/>
  <c r="AH10" i="4"/>
  <c r="AI9" i="4"/>
  <c r="AH9" i="4"/>
  <c r="AI8" i="4"/>
  <c r="AH8" i="4"/>
  <c r="AI7" i="4"/>
  <c r="AH7" i="4"/>
  <c r="AI6" i="4"/>
  <c r="AH6" i="4"/>
  <c r="AJ17" i="1"/>
  <c r="AI17" i="1"/>
  <c r="AJ16" i="1"/>
  <c r="AI16" i="1"/>
  <c r="AJ15" i="1"/>
  <c r="AI15" i="1"/>
  <c r="AJ14" i="1"/>
  <c r="AI14" i="1"/>
  <c r="AJ13" i="1"/>
  <c r="AI13" i="1"/>
  <c r="AJ12" i="1"/>
  <c r="AI12" i="1"/>
  <c r="AJ11" i="1"/>
  <c r="AI11" i="1"/>
  <c r="AJ10" i="1"/>
  <c r="AI10" i="1"/>
  <c r="AJ9" i="1"/>
  <c r="AI9" i="1"/>
  <c r="AJ8" i="1"/>
  <c r="AI8" i="1"/>
  <c r="AJ7" i="1"/>
  <c r="AI7" i="1"/>
  <c r="AJ6" i="1"/>
  <c r="AI6" i="1"/>
  <c r="AH18" i="2" l="1"/>
  <c r="AN18" i="3"/>
  <c r="AJ18" i="3"/>
  <c r="AH18" i="3"/>
  <c r="AI18" i="3"/>
  <c r="AK18" i="3"/>
  <c r="AN18" i="2"/>
  <c r="AQ6" i="1"/>
  <c r="AQ7" i="1"/>
  <c r="AQ8" i="1"/>
  <c r="AQ9" i="1"/>
  <c r="AQ10" i="1"/>
  <c r="AQ11" i="1"/>
  <c r="AQ12" i="1"/>
  <c r="AQ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tc={F3833068-3AD6-4F77-8586-CD71EE7D6355}</author>
    <author>tc={C73A2388-160F-4C7C-93C8-07D7337D9EBF}</author>
    <author>tc={24E77737-147B-4505-9B68-0BA04D62C3A6}</author>
    <author>tc={06155CA5-CF4B-41FB-8EDB-15773A71EC63}</author>
    <author>tc={04FC3AAF-B3FF-466D-B87A-65E3B20559A5}</author>
    <author>tc={7924ABB0-76EA-49A1-AF0A-984DCB59CA26}</author>
    <author>tc={F8DC15B0-BA5C-436E-9082-D75E6F3B76E3}</author>
    <author>tc={D06A8A6E-6058-4337-BAFE-353343EDB2C7}</author>
    <author>tc={7B9B2BEF-640E-4676-A36A-0B5238559F61}</author>
    <author>tc={2BBED47A-F566-4189-AEEB-9614771B03EF}</author>
    <author>tc={EBBAB6C7-C69F-4D54-A4B3-46EF25B0ECBC}</author>
    <author>tc={16B54102-7697-45B1-8450-0B9FFFB40328}</author>
    <author>tc={42B20BC5-CDBA-4457-AC7F-81240DE96829}</author>
    <author>tc={8090E8B0-5D46-482F-AF6B-C1FFD1E6DCC1}</author>
    <author>tc={D667F9E6-9160-4C70-AC6F-BF13273E9259}</author>
    <author>tc={B5924D90-0FB2-4422-B876-457383D3405B}</author>
    <author>tc={2EB5175A-024C-4A61-A7EE-1BC9E7FF2FB9}</author>
    <author>tc={6579024A-31AD-4E52-9E03-594D5D70C20D}</author>
    <author>tc={45FD4BD9-FD5F-4335-B5CD-6B9DA5FB3BB3}</author>
    <author>tc={455F8106-E383-4A9A-9598-3DA8869BFBBD}</author>
    <author>tc={9067C6D5-CA19-465E-A6B0-BBE031EAE206}</author>
    <author>tc={DB99D1E1-1836-4888-953A-93FD3C399816}</author>
    <author>tc={79FD5AED-3EDC-4C5F-B724-51302AEB50F2}</author>
    <author>tc={87AB9D59-CF3A-43F6-A2F5-B357E4B33E51}</author>
    <author>tc={40C501A5-51F6-4B80-A0DE-3D6CD9748444}</author>
    <author>tc={8E2FA58A-35FF-45D3-9726-D90AEB00E39E}</author>
    <author>tc={B402EE32-4BF0-4BC6-92A1-7F80D458DFF8}</author>
    <author>tc={17DB171E-DD3C-40B5-8EC2-D0CC3A27C384}</author>
    <author>tc={5AAD5EB6-7A3F-49A5-B1D6-2E5E96241611}</author>
    <author>tc={C0C79723-AB6F-4510-9EEB-A3F864EAB69D}</author>
  </authors>
  <commentList>
    <comment ref="F6" authorId="0" shapeId="0" xr:uid="{F3833068-3AD6-4F77-8586-CD71EE7D635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9" authorId="1" shapeId="0" xr:uid="{C73A2388-160F-4C7C-93C8-07D7337D9EBF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11" authorId="2" shapeId="0" xr:uid="{24E77737-147B-4505-9B68-0BA04D62C3A6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12" authorId="3" shapeId="0" xr:uid="{06155CA5-CF4B-41FB-8EDB-15773A71EC63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17" authorId="4" shapeId="0" xr:uid="{04FC3AAF-B3FF-466D-B87A-65E3B20559A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18" authorId="5" shapeId="0" xr:uid="{7924ABB0-76EA-49A1-AF0A-984DCB59CA26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19" authorId="6" shapeId="0" xr:uid="{F8DC15B0-BA5C-436E-9082-D75E6F3B76E3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20" authorId="7" shapeId="0" xr:uid="{D06A8A6E-6058-4337-BAFE-353343EDB2C7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22" authorId="8" shapeId="0" xr:uid="{7B9B2BEF-640E-4676-A36A-0B5238559F61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23" authorId="9" shapeId="0" xr:uid="{2BBED47A-F566-4189-AEEB-9614771B03EF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number change as of 3/2025</t>
      </text>
    </comment>
    <comment ref="F24" authorId="10" shapeId="0" xr:uid="{EBBAB6C7-C69F-4D54-A4B3-46EF25B0ECBC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28" authorId="11" shapeId="0" xr:uid="{16B54102-7697-45B1-8450-0B9FFFB40328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B35" authorId="12" shapeId="0" xr:uid="{42B20BC5-CDBA-4457-AC7F-81240DE968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list of addresses from AmWater</t>
      </text>
    </comment>
    <comment ref="F39" authorId="13" shapeId="0" xr:uid="{8090E8B0-5D46-482F-AF6B-C1FFD1E6DCC1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40" authorId="14" shapeId="0" xr:uid="{D667F9E6-9160-4C70-AC6F-BF13273E9259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41" authorId="15" shapeId="0" xr:uid="{B5924D90-0FB2-4422-B876-457383D3405B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46" authorId="16" shapeId="0" xr:uid="{2EB5175A-024C-4A61-A7EE-1BC9E7FF2FB9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47" authorId="17" shapeId="0" xr:uid="{6579024A-31AD-4E52-9E03-594D5D70C20D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51" authorId="18" shapeId="0" xr:uid="{45FD4BD9-FD5F-4335-B5CD-6B9DA5FB3BB3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55" authorId="19" shapeId="0" xr:uid="{455F8106-E383-4A9A-9598-3DA8869BFBBD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B59" authorId="20" shapeId="0" xr:uid="{9067C6D5-CA19-465E-A6B0-BBE031EAE20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list of addresses from AmWater</t>
      </text>
    </comment>
    <comment ref="F62" authorId="21" shapeId="0" xr:uid="{DB99D1E1-1836-4888-953A-93FD3C399816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64" authorId="22" shapeId="0" xr:uid="{79FD5AED-3EDC-4C5F-B724-51302AEB50F2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68" authorId="23" shapeId="0" xr:uid="{87AB9D59-CF3A-43F6-A2F5-B357E4B33E51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71" authorId="24" shapeId="0" xr:uid="{40C501A5-51F6-4B80-A0DE-3D6CD9748444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78" authorId="25" shapeId="0" xr:uid="{8E2FA58A-35FF-45D3-9726-D90AEB00E39E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81" authorId="26" shapeId="0" xr:uid="{B402EE32-4BF0-4BC6-92A1-7F80D458DFF8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105" authorId="27" shapeId="0" xr:uid="{17DB171E-DD3C-40B5-8EC2-D0CC3A27C384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107" authorId="28" shapeId="0" xr:uid="{5AAD5EB6-7A3F-49A5-B1D6-2E5E96241611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108" authorId="29" shapeId="0" xr:uid="{C0C79723-AB6F-4510-9EEB-A3F864EAB69D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</commentList>
</comments>
</file>

<file path=xl/sharedStrings.xml><?xml version="1.0" encoding="utf-8"?>
<sst xmlns="http://schemas.openxmlformats.org/spreadsheetml/2006/main" count="1375" uniqueCount="488">
  <si>
    <t>Indiana American Water (9244)</t>
  </si>
  <si>
    <t>2025-26</t>
  </si>
  <si>
    <t>Usage in Gallons</t>
  </si>
  <si>
    <t>Amount in US$</t>
  </si>
  <si>
    <t>DATABASE</t>
  </si>
  <si>
    <t>Address</t>
  </si>
  <si>
    <t>Building</t>
  </si>
  <si>
    <t>Building Types</t>
  </si>
  <si>
    <t>Meter</t>
  </si>
  <si>
    <t>Jul. Amount</t>
  </si>
  <si>
    <t>Jul. Usage</t>
  </si>
  <si>
    <t>Aug. Amount</t>
  </si>
  <si>
    <t>Aug. Usage</t>
  </si>
  <si>
    <t>Sept. Amount</t>
  </si>
  <si>
    <t>Sept. Usage</t>
  </si>
  <si>
    <t>Oct. Amount</t>
  </si>
  <si>
    <t>Oct. Usage</t>
  </si>
  <si>
    <t>Nov. Amount</t>
  </si>
  <si>
    <t>Nov. Usage</t>
  </si>
  <si>
    <t>Dec. Amount</t>
  </si>
  <si>
    <t>Dec. Usage</t>
  </si>
  <si>
    <t>Jan. Amount</t>
  </si>
  <si>
    <t>Jan. Usage</t>
  </si>
  <si>
    <t>Feb. Amount</t>
  </si>
  <si>
    <t>Feb. Usage</t>
  </si>
  <si>
    <t>Mar. Amount</t>
  </si>
  <si>
    <t>Mar. Usage</t>
  </si>
  <si>
    <t>Apr. Amount</t>
  </si>
  <si>
    <t>Apr. Usage</t>
  </si>
  <si>
    <t>May. Amount</t>
  </si>
  <si>
    <t>May. Usage</t>
  </si>
  <si>
    <t>Jun. Amount</t>
  </si>
  <si>
    <t>Jun. Usage</t>
  </si>
  <si>
    <t>DATA MANAGEMENT</t>
  </si>
  <si>
    <t>Overview of Earlham College's Water Usage</t>
  </si>
  <si>
    <t>Account No.</t>
  </si>
  <si>
    <t>Months</t>
  </si>
  <si>
    <t>Usage</t>
  </si>
  <si>
    <t>Cost</t>
  </si>
  <si>
    <t>Academic</t>
  </si>
  <si>
    <t>Operational</t>
  </si>
  <si>
    <t>Residence Halls</t>
  </si>
  <si>
    <t>Campus Village</t>
  </si>
  <si>
    <t>College Houses</t>
  </si>
  <si>
    <t>Athletics</t>
  </si>
  <si>
    <t>1003/1007 Gurney</t>
  </si>
  <si>
    <t>July</t>
  </si>
  <si>
    <t>1011/1013 Gurney</t>
  </si>
  <si>
    <t>August</t>
  </si>
  <si>
    <t>1015/1017 Gurney</t>
  </si>
  <si>
    <t>September</t>
  </si>
  <si>
    <t>1023/1025 Gurney</t>
  </si>
  <si>
    <t>October</t>
  </si>
  <si>
    <t>1027/1029/1031/1033 Gurney</t>
  </si>
  <si>
    <t>November</t>
  </si>
  <si>
    <t>1035/1037 Gurney</t>
  </si>
  <si>
    <t>December</t>
  </si>
  <si>
    <t>1039/1041/1043/1045 Gurney</t>
  </si>
  <si>
    <t>January</t>
  </si>
  <si>
    <t>1051/1053 Gurney</t>
  </si>
  <si>
    <t>Febuary</t>
  </si>
  <si>
    <t>1002/1004 Woolman</t>
  </si>
  <si>
    <t>March</t>
  </si>
  <si>
    <t>1012/1016 Woolman</t>
  </si>
  <si>
    <t>April</t>
  </si>
  <si>
    <t>1015/1017 Woolman</t>
  </si>
  <si>
    <t>May</t>
  </si>
  <si>
    <t>1019/1021 Woolman</t>
  </si>
  <si>
    <t>June</t>
  </si>
  <si>
    <t>1022/1024 Woolman</t>
  </si>
  <si>
    <t>1025/1029 Woolman</t>
  </si>
  <si>
    <t>1028/1032 Woolman</t>
  </si>
  <si>
    <t>1035/1037 Woolman</t>
  </si>
  <si>
    <t>1036/1038 Woolman</t>
  </si>
  <si>
    <t>1039/1041/1043/1045 Woolman</t>
  </si>
  <si>
    <t>1042/1044 Woolman</t>
  </si>
  <si>
    <t>1050/1052 Woolman</t>
  </si>
  <si>
    <t>234 College</t>
  </si>
  <si>
    <t>Brown</t>
  </si>
  <si>
    <t>240 College</t>
  </si>
  <si>
    <t>Woodman</t>
  </si>
  <si>
    <t>091762455A</t>
  </si>
  <si>
    <t>302 College</t>
  </si>
  <si>
    <t>Marshall</t>
  </si>
  <si>
    <t>091762454A</t>
  </si>
  <si>
    <t>306 College</t>
  </si>
  <si>
    <t>Doan</t>
  </si>
  <si>
    <t>310 College</t>
  </si>
  <si>
    <t>Hole</t>
  </si>
  <si>
    <t>326 College</t>
  </si>
  <si>
    <t>Gurney</t>
  </si>
  <si>
    <t>330 College</t>
  </si>
  <si>
    <t>Grant</t>
  </si>
  <si>
    <t>331 College</t>
  </si>
  <si>
    <t>400 College</t>
  </si>
  <si>
    <t>Thornburg</t>
  </si>
  <si>
    <t>404 College</t>
  </si>
  <si>
    <t>Blue Shutters</t>
  </si>
  <si>
    <t>408/410 College</t>
  </si>
  <si>
    <t>Edwards</t>
  </si>
  <si>
    <t>091762142A</t>
  </si>
  <si>
    <t>414 College</t>
  </si>
  <si>
    <t>Hobbs</t>
  </si>
  <si>
    <t>091762452A</t>
  </si>
  <si>
    <t>416 College</t>
  </si>
  <si>
    <t>Wildman</t>
  </si>
  <si>
    <t>417 College</t>
  </si>
  <si>
    <t>Unnamed</t>
  </si>
  <si>
    <t>091762136A</t>
  </si>
  <si>
    <t>420 College</t>
  </si>
  <si>
    <t>CCC</t>
  </si>
  <si>
    <t>430 College</t>
  </si>
  <si>
    <t>Joseph Moore</t>
  </si>
  <si>
    <t>440 College</t>
  </si>
  <si>
    <t>Cutter</t>
  </si>
  <si>
    <t>091762398A</t>
  </si>
  <si>
    <t>446 College</t>
  </si>
  <si>
    <t>Kelly</t>
  </si>
  <si>
    <t>450 College</t>
  </si>
  <si>
    <t>Garner</t>
  </si>
  <si>
    <t>525 SW G</t>
  </si>
  <si>
    <t>Fry</t>
  </si>
  <si>
    <t>610 NRW</t>
  </si>
  <si>
    <t>Russell</t>
  </si>
  <si>
    <t>620 NRW</t>
  </si>
  <si>
    <t>Penn</t>
  </si>
  <si>
    <t>624 NRW</t>
  </si>
  <si>
    <t>Reece</t>
  </si>
  <si>
    <t>700 NRW/136 SW 7th</t>
  </si>
  <si>
    <t>Wilbur</t>
  </si>
  <si>
    <t>091762070A</t>
  </si>
  <si>
    <t>706 NRW</t>
  </si>
  <si>
    <t>Bright</t>
  </si>
  <si>
    <t>712 NRW</t>
  </si>
  <si>
    <t>Foster</t>
  </si>
  <si>
    <t>091762305A</t>
  </si>
  <si>
    <t>716 NRW</t>
  </si>
  <si>
    <t>Fell</t>
  </si>
  <si>
    <t>770 NRW</t>
  </si>
  <si>
    <t>Vacant</t>
  </si>
  <si>
    <t>091884007A</t>
  </si>
  <si>
    <t>806 NRW</t>
  </si>
  <si>
    <t>Marmon</t>
  </si>
  <si>
    <t>900 NRW</t>
  </si>
  <si>
    <t>Mott</t>
  </si>
  <si>
    <t>912 NRW</t>
  </si>
  <si>
    <t>Darby</t>
  </si>
  <si>
    <t>801 NRW</t>
  </si>
  <si>
    <t>Sprinkler</t>
  </si>
  <si>
    <t>092224423A</t>
  </si>
  <si>
    <t>701 NRW</t>
  </si>
  <si>
    <t>Sprinkler - Soccer</t>
  </si>
  <si>
    <t xml:space="preserve">701 NRW </t>
  </si>
  <si>
    <t>Sprinkler - Softball</t>
  </si>
  <si>
    <t>Beane</t>
  </si>
  <si>
    <t>1000 Gurney</t>
  </si>
  <si>
    <t>Sadler Stadium</t>
  </si>
  <si>
    <t xml:space="preserve">1052 Gurney Irrigation </t>
  </si>
  <si>
    <t>Irrigation</t>
  </si>
  <si>
    <t>1000 Gurney Irrig</t>
  </si>
  <si>
    <t>Miller Farm</t>
  </si>
  <si>
    <t>CVPA</t>
  </si>
  <si>
    <t xml:space="preserve">Academic </t>
  </si>
  <si>
    <t>CST</t>
  </si>
  <si>
    <t>WWM</t>
  </si>
  <si>
    <t>341 College Ave</t>
  </si>
  <si>
    <t>920 Earlham Dr. 6FS</t>
  </si>
  <si>
    <t>Fire Service 6"</t>
  </si>
  <si>
    <t>801 NRW 6FS</t>
  </si>
  <si>
    <t>701 NRW 6FS</t>
  </si>
  <si>
    <t>701 NRW 10FS</t>
  </si>
  <si>
    <t>Fire Service 10"</t>
  </si>
  <si>
    <t>609 W National Rd - ESR</t>
  </si>
  <si>
    <t>Fire Service 4"</t>
  </si>
  <si>
    <t>18 SW 7th</t>
  </si>
  <si>
    <t>092081014A</t>
  </si>
  <si>
    <t xml:space="preserve"> 609  W NATIONAL RD</t>
  </si>
  <si>
    <t xml:space="preserve"> 528  W NATIONAL RD</t>
  </si>
  <si>
    <t xml:space="preserve"> 504  NW 5 St</t>
  </si>
  <si>
    <t>092224787A</t>
  </si>
  <si>
    <t xml:space="preserve"> 228  College Ave</t>
  </si>
  <si>
    <t xml:space="preserve"> 230  College Ave</t>
  </si>
  <si>
    <t xml:space="preserve">130 SW 8th </t>
  </si>
  <si>
    <t>Rental</t>
  </si>
  <si>
    <t>712 College</t>
  </si>
  <si>
    <t>President</t>
  </si>
  <si>
    <t>091284382A</t>
  </si>
  <si>
    <t>426/428 College</t>
  </si>
  <si>
    <t>Duplex</t>
  </si>
  <si>
    <t>091762139A</t>
  </si>
  <si>
    <t>312 College</t>
  </si>
  <si>
    <t>Public Safety</t>
  </si>
  <si>
    <t>325 College</t>
  </si>
  <si>
    <t>Bethany</t>
  </si>
  <si>
    <t>091762124A</t>
  </si>
  <si>
    <t>302 College - R</t>
  </si>
  <si>
    <t>McNair</t>
  </si>
  <si>
    <t>223 College</t>
  </si>
  <si>
    <t>091030003A</t>
  </si>
  <si>
    <t>227 College</t>
  </si>
  <si>
    <t>091762075A</t>
  </si>
  <si>
    <t>228 College - R</t>
  </si>
  <si>
    <t>Teague</t>
  </si>
  <si>
    <t>091762019A</t>
  </si>
  <si>
    <t>1052 Gurney</t>
  </si>
  <si>
    <t>Horsebarn</t>
  </si>
  <si>
    <t>Big bill</t>
  </si>
  <si>
    <t>Stanley</t>
  </si>
  <si>
    <t>Tyler</t>
  </si>
  <si>
    <t>LBC (E. vault)</t>
  </si>
  <si>
    <t>LBC (fire service)</t>
  </si>
  <si>
    <t>LBC (W vault)</t>
  </si>
  <si>
    <t>Lilly</t>
  </si>
  <si>
    <t>Carpenter</t>
  </si>
  <si>
    <t>Dennis/Noyes</t>
  </si>
  <si>
    <t>OA/Stout</t>
  </si>
  <si>
    <t xml:space="preserve">Residential </t>
  </si>
  <si>
    <t>Hoerner</t>
  </si>
  <si>
    <t>Bundy</t>
  </si>
  <si>
    <t>Barrett</t>
  </si>
  <si>
    <t>Runyan Bottom</t>
  </si>
  <si>
    <t>Runyan Top</t>
  </si>
  <si>
    <t>Maintenance</t>
  </si>
  <si>
    <t>EH (including Cafeteria)</t>
  </si>
  <si>
    <t>Boiler</t>
  </si>
  <si>
    <t>AWC (bottom)</t>
  </si>
  <si>
    <t>AWC (top)</t>
  </si>
  <si>
    <t>?</t>
  </si>
  <si>
    <t>Account Number</t>
  </si>
  <si>
    <t>Meter Number</t>
  </si>
  <si>
    <t>Added to new sheet?</t>
  </si>
  <si>
    <t>Individual</t>
  </si>
  <si>
    <t>331 College Ave, Richmond, IN 47374-5361</t>
  </si>
  <si>
    <t>1010-210008645211</t>
  </si>
  <si>
    <t>801 W National Rd, IRRG, Richmond, IN 47374-4021</t>
  </si>
  <si>
    <t>1010-210003870654</t>
  </si>
  <si>
    <t>701 W National Rd, Richmond, IN 47374-4000</t>
  </si>
  <si>
    <t>1010-210005789976</t>
  </si>
  <si>
    <t>Maybe this is what big bill refers to</t>
  </si>
  <si>
    <t>701 W NATIONAL RD, RICHMOND, IN 47374-4000</t>
  </si>
  <si>
    <t>1010-210005850021</t>
  </si>
  <si>
    <t>701 W National Rd, SPRKL, Richmond, IN 47374-4000</t>
  </si>
  <si>
    <t>1010-210007909301</t>
  </si>
  <si>
    <t>1010-210007909554</t>
  </si>
  <si>
    <t>701 W NATIONAL RD, 10 FS, RICHMOND, IN 47374-4000</t>
  </si>
  <si>
    <t>1010-210005414821</t>
  </si>
  <si>
    <t>920 Earlham Dr, 6 FS, Richmond, IN 47374-5273</t>
  </si>
  <si>
    <t>1010-210005483117</t>
  </si>
  <si>
    <t>609 W NATIONAL RD, 4 FS, RICHMOND, IN 47374-4019</t>
  </si>
  <si>
    <t>1010 - 210005543002</t>
  </si>
  <si>
    <t>701 W NATIONAL RD, 6 FS, RICHMOND, IN 47374-4000</t>
  </si>
  <si>
    <t>1010-210005543842</t>
  </si>
  <si>
    <t>801 W National Rd, 6 FS, Richmond, IN 47374-4021</t>
  </si>
  <si>
    <t>1010 - 210005865894</t>
  </si>
  <si>
    <t>801 W National Rd, Richmond, IN 47374-4021</t>
  </si>
  <si>
    <t>1010-210005865641</t>
  </si>
  <si>
    <t>1010-210007909066</t>
  </si>
  <si>
    <t>801 National Rd W, CVPA, Richmond, IN 47374-4095</t>
  </si>
  <si>
    <t>1010-220006350750</t>
  </si>
  <si>
    <t>1000 Gurney Dr, Richmond, IN 47374-5276</t>
  </si>
  <si>
    <t>1010-220005467464</t>
  </si>
  <si>
    <t>1000 Gurney Dr, IRRIG, Richmond, IN 47374-5276</t>
  </si>
  <si>
    <t>1010-220040493251</t>
  </si>
  <si>
    <t>7 child accounts</t>
  </si>
  <si>
    <t>414 College Ave</t>
  </si>
  <si>
    <t>416 College Ave</t>
  </si>
  <si>
    <t>420 College Ave</t>
  </si>
  <si>
    <t>430 College Ave</t>
  </si>
  <si>
    <t>440 College Ave</t>
  </si>
  <si>
    <t>446 College Ave</t>
  </si>
  <si>
    <t>400 College Ave</t>
  </si>
  <si>
    <t>3 child accounts</t>
  </si>
  <si>
    <t>234 College Ave</t>
  </si>
  <si>
    <t>302 College ave</t>
  </si>
  <si>
    <t>312 College Ave</t>
  </si>
  <si>
    <t>2 child accounts</t>
  </si>
  <si>
    <t>240 College Ave</t>
  </si>
  <si>
    <t>10 child accounts</t>
  </si>
  <si>
    <t>700 NRW</t>
  </si>
  <si>
    <t>228 College Ave</t>
  </si>
  <si>
    <t>1 child account</t>
  </si>
  <si>
    <t>21 child accounts</t>
  </si>
  <si>
    <t>1012 Woolman</t>
  </si>
  <si>
    <t>1015 Woolman</t>
  </si>
  <si>
    <t>1028 Woolman</t>
  </si>
  <si>
    <t>1019 Woolman</t>
  </si>
  <si>
    <t>1022 Woolman</t>
  </si>
  <si>
    <t>1025 Woolman</t>
  </si>
  <si>
    <t>1002 Woolman</t>
  </si>
  <si>
    <t>1035 Woolman</t>
  </si>
  <si>
    <t>1036 Woolman</t>
  </si>
  <si>
    <t>1042 Woolman</t>
  </si>
  <si>
    <t>1050 Woolman</t>
  </si>
  <si>
    <t>1003 Gurney</t>
  </si>
  <si>
    <t>1011 Gurney</t>
  </si>
  <si>
    <t>1015 Gurney</t>
  </si>
  <si>
    <t>1023 Gurney</t>
  </si>
  <si>
    <t>1027 Gurney</t>
  </si>
  <si>
    <t>1035 Gurney</t>
  </si>
  <si>
    <t>1039 Gurney</t>
  </si>
  <si>
    <t>1051 Gurney</t>
  </si>
  <si>
    <t>1039 Woolman</t>
  </si>
  <si>
    <t>23 child accounts</t>
  </si>
  <si>
    <t>525 SW G St</t>
  </si>
  <si>
    <t>712 College Ave</t>
  </si>
  <si>
    <t>302 College Ave</t>
  </si>
  <si>
    <t>306 College Ave</t>
  </si>
  <si>
    <t>310 College Ave</t>
  </si>
  <si>
    <t>326 College Ave</t>
  </si>
  <si>
    <t>330 College Ave</t>
  </si>
  <si>
    <t>408 College Ave</t>
  </si>
  <si>
    <t>426 College Ave</t>
  </si>
  <si>
    <t>528 NRW</t>
  </si>
  <si>
    <t>609 NRW</t>
  </si>
  <si>
    <t>504 NW 5 St</t>
  </si>
  <si>
    <t>130 SW 8 st</t>
  </si>
  <si>
    <t>223 College Ave</t>
  </si>
  <si>
    <t>230 College Ave</t>
  </si>
  <si>
    <t>450 College Ave</t>
  </si>
  <si>
    <t>417 College Ave</t>
  </si>
  <si>
    <t>404 College Ave</t>
  </si>
  <si>
    <t>227 College Ave</t>
  </si>
  <si>
    <t>325 College Ave</t>
  </si>
  <si>
    <t>18 SW 7 St</t>
  </si>
  <si>
    <t>Richmond Power &amp; Light (9242)</t>
  </si>
  <si>
    <t>Usage in kWh</t>
  </si>
  <si>
    <t>Jul Amount</t>
  </si>
  <si>
    <t>Overview of Earlham College's Electricity Usage</t>
  </si>
  <si>
    <t>The Heart Area</t>
  </si>
  <si>
    <t>Outdoor Lighting</t>
  </si>
  <si>
    <t>Sadler Field Lights</t>
  </si>
  <si>
    <t>Stable (old)</t>
  </si>
  <si>
    <t>1102 Gurney</t>
  </si>
  <si>
    <t>229 Jones House Road</t>
  </si>
  <si>
    <t>Virginia Cottage</t>
  </si>
  <si>
    <t>301 Jones House Road</t>
  </si>
  <si>
    <t>303 Jones House Road</t>
  </si>
  <si>
    <t> </t>
  </si>
  <si>
    <t>1004 Woolman</t>
  </si>
  <si>
    <t>1016 Woolman</t>
  </si>
  <si>
    <t>Totals</t>
  </si>
  <si>
    <t>1017 Woolman</t>
  </si>
  <si>
    <t>1021 Woolman</t>
  </si>
  <si>
    <t>1024 Woolman</t>
  </si>
  <si>
    <t>1029 Woolman</t>
  </si>
  <si>
    <t>1032 Woolman</t>
  </si>
  <si>
    <t>1037 Woolman</t>
  </si>
  <si>
    <t>1038 Woolman</t>
  </si>
  <si>
    <t>1041 Woolman</t>
  </si>
  <si>
    <t>1043 Woolman</t>
  </si>
  <si>
    <t>1044 Woolman</t>
  </si>
  <si>
    <t>1045 Woolman</t>
  </si>
  <si>
    <t>1052 Woolman</t>
  </si>
  <si>
    <t>1007 Gurney</t>
  </si>
  <si>
    <t>1013 Gurney</t>
  </si>
  <si>
    <t>1017 Gurney</t>
  </si>
  <si>
    <t>1025 Gurney</t>
  </si>
  <si>
    <t>1029 Gurney</t>
  </si>
  <si>
    <t>1031 Gurney</t>
  </si>
  <si>
    <t>1033 Gurney</t>
  </si>
  <si>
    <t>1037 Gurney</t>
  </si>
  <si>
    <t>1041 Gurney</t>
  </si>
  <si>
    <t>1043 Gurney</t>
  </si>
  <si>
    <t>1045 Gurney</t>
  </si>
  <si>
    <t>1053 Gurney</t>
  </si>
  <si>
    <t>228 College</t>
  </si>
  <si>
    <t>RBC</t>
  </si>
  <si>
    <t>229 College</t>
  </si>
  <si>
    <t>345 College</t>
  </si>
  <si>
    <t>417 College (1)</t>
  </si>
  <si>
    <t>417 College (Rear)</t>
  </si>
  <si>
    <t>426 College</t>
  </si>
  <si>
    <t>428 College</t>
  </si>
  <si>
    <t>805 College</t>
  </si>
  <si>
    <t>VIP</t>
  </si>
  <si>
    <t>130 SW 8th</t>
  </si>
  <si>
    <t>Storage Barn</t>
  </si>
  <si>
    <t>Beane Stadium</t>
  </si>
  <si>
    <t>Boiler/Chiller</t>
  </si>
  <si>
    <t>Loose V. Locker Room</t>
  </si>
  <si>
    <t>Matlack-Messer Stadium</t>
  </si>
  <si>
    <t>1000 Block Gurney Dr</t>
  </si>
  <si>
    <t>Outdoor lighting</t>
  </si>
  <si>
    <t>600 Block Earlham Dr</t>
  </si>
  <si>
    <t>1002-1028 Woolman</t>
  </si>
  <si>
    <t>Earlham Rear Path</t>
  </si>
  <si>
    <t>506 Colleg Ave Rental</t>
  </si>
  <si>
    <t>1000 Gurney Batting Cage</t>
  </si>
  <si>
    <t>510 College</t>
  </si>
  <si>
    <t xml:space="preserve">Constellation </t>
  </si>
  <si>
    <t>Usage in THM</t>
  </si>
  <si>
    <t>Natural Gas</t>
  </si>
  <si>
    <t>Account/Meter</t>
  </si>
  <si>
    <t>Overview of Earlham College's Natural Gas Usage</t>
  </si>
  <si>
    <t>Residential</t>
  </si>
  <si>
    <t>Small (CVPA)</t>
  </si>
  <si>
    <t>Jul</t>
  </si>
  <si>
    <t>Large (Boiler)</t>
  </si>
  <si>
    <t>Aug</t>
  </si>
  <si>
    <t>Sep</t>
  </si>
  <si>
    <t>Oct</t>
  </si>
  <si>
    <t>Centerpoint</t>
  </si>
  <si>
    <t>Nov</t>
  </si>
  <si>
    <t>Dec</t>
  </si>
  <si>
    <t>Jan</t>
  </si>
  <si>
    <t>McNair/Public Safety</t>
  </si>
  <si>
    <t>N1269706</t>
  </si>
  <si>
    <t>Feb</t>
  </si>
  <si>
    <t>N1242795</t>
  </si>
  <si>
    <t>Mar</t>
  </si>
  <si>
    <t>N1084397</t>
  </si>
  <si>
    <t>Apr</t>
  </si>
  <si>
    <t>N1240272</t>
  </si>
  <si>
    <t>N1253726</t>
  </si>
  <si>
    <t>Jun</t>
  </si>
  <si>
    <t>N1242783</t>
  </si>
  <si>
    <t>TOTALS</t>
  </si>
  <si>
    <t>N1242803</t>
  </si>
  <si>
    <t>N1242817</t>
  </si>
  <si>
    <t>N1242808</t>
  </si>
  <si>
    <t>N1242819</t>
  </si>
  <si>
    <t>N1665873</t>
  </si>
  <si>
    <t>400 1/2 College</t>
  </si>
  <si>
    <t>N1665871</t>
  </si>
  <si>
    <t>N1240246</t>
  </si>
  <si>
    <t>N1240310</t>
  </si>
  <si>
    <t>N1240312</t>
  </si>
  <si>
    <t>N1240302</t>
  </si>
  <si>
    <t>N1240305</t>
  </si>
  <si>
    <t>N1240304</t>
  </si>
  <si>
    <t>N1240306</t>
  </si>
  <si>
    <t>N1240303</t>
  </si>
  <si>
    <t>N1240266</t>
  </si>
  <si>
    <t>N1240242</t>
  </si>
  <si>
    <t>N1346446</t>
  </si>
  <si>
    <t>Anderson Cottage</t>
  </si>
  <si>
    <t>N1548888</t>
  </si>
  <si>
    <t>N0788782</t>
  </si>
  <si>
    <t>N0700100</t>
  </si>
  <si>
    <t>N0788694</t>
  </si>
  <si>
    <t>N0700528</t>
  </si>
  <si>
    <t>N0699962</t>
  </si>
  <si>
    <t>N0788878</t>
  </si>
  <si>
    <t>N0787843</t>
  </si>
  <si>
    <t>N1441738</t>
  </si>
  <si>
    <t>N0788864</t>
  </si>
  <si>
    <t>N1393575</t>
  </si>
  <si>
    <t>N0842078</t>
  </si>
  <si>
    <t>N0787873</t>
  </si>
  <si>
    <t>Residence Hall</t>
  </si>
  <si>
    <t>N1517376</t>
  </si>
  <si>
    <t>N1161607</t>
  </si>
  <si>
    <t>N1396255</t>
  </si>
  <si>
    <t>W/W/M</t>
  </si>
  <si>
    <t>N1502617</t>
  </si>
  <si>
    <t>N1623079</t>
  </si>
  <si>
    <t>OA</t>
  </si>
  <si>
    <t>N0923820</t>
  </si>
  <si>
    <t>Dennis</t>
  </si>
  <si>
    <t>N1084499</t>
  </si>
  <si>
    <t>N0761056</t>
  </si>
  <si>
    <t>N1248867</t>
  </si>
  <si>
    <t>N0890788</t>
  </si>
  <si>
    <t xml:space="preserve">801 NRW </t>
  </si>
  <si>
    <t>N1531709</t>
  </si>
  <si>
    <t>N1233887</t>
  </si>
  <si>
    <t>N1240957</t>
  </si>
  <si>
    <t>229 College Ave</t>
  </si>
  <si>
    <t>N1242846</t>
  </si>
  <si>
    <t>N1637764</t>
  </si>
  <si>
    <t>N1242851</t>
  </si>
  <si>
    <t>504 NW 5th ST</t>
  </si>
  <si>
    <t>N1225185</t>
  </si>
  <si>
    <t>N0867173</t>
  </si>
  <si>
    <t>N0626223</t>
  </si>
  <si>
    <t>EH</t>
  </si>
  <si>
    <t>N1515912</t>
  </si>
  <si>
    <t>Richmond Sanitary District (9245)</t>
  </si>
  <si>
    <t>Unit</t>
  </si>
  <si>
    <t>Wastewater Treatment</t>
  </si>
  <si>
    <t>Overview of Earlham College's Wastewater Usage</t>
  </si>
  <si>
    <t>Big Bill Total:</t>
  </si>
  <si>
    <t>801 NRW Flow Loss 0726</t>
  </si>
  <si>
    <t>08000-0001151000</t>
  </si>
  <si>
    <t>801 NRW Flow Loss 0746</t>
  </si>
  <si>
    <t>227 College Rental</t>
  </si>
  <si>
    <t>00703-0048589000</t>
  </si>
  <si>
    <t>223 College 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</si>
</sst>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&quot;$&quot;#,##0.00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20"/>
      <color rgb="FF000000"/>
      <name val="Calibri"/>
      <family val="2"/>
    </font>
    <font>
      <sz val="11"/>
      <color rgb="FF000000"/>
      <name val="Aptos Narrow"/>
      <family val="2"/>
    </font>
    <font>
      <sz val="14"/>
      <color theme="1"/>
      <name val="Times New Roman"/>
      <charset val="1"/>
    </font>
    <font>
      <sz val="11"/>
      <color rgb="FF000000"/>
      <name val="Roboto"/>
      <family val="2"/>
      <charset val="1"/>
    </font>
    <font>
      <sz val="11"/>
      <color rgb="FF37474F"/>
      <name val="Roboto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2B9F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/>
      <top style="medium">
        <color indexed="64"/>
      </top>
      <bottom style="medium">
        <color theme="1"/>
      </bottom>
      <diagonal/>
    </border>
    <border>
      <left/>
      <right style="thin">
        <color theme="1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44" fontId="2" fillId="0" borderId="0"/>
  </cellStyleXfs>
  <cellXfs count="246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/>
    <xf numFmtId="44" fontId="0" fillId="3" borderId="7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3" borderId="14" xfId="1" applyFont="1" applyFill="1" applyBorder="1" applyAlignment="1">
      <alignment horizontal="center" vertical="center"/>
    </xf>
    <xf numFmtId="44" fontId="0" fillId="3" borderId="16" xfId="1" applyFont="1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3" borderId="0" xfId="1" applyNumberFormat="1" applyFont="1" applyFill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5" fillId="0" borderId="0" xfId="0" applyFont="1" applyAlignment="1">
      <alignment vertical="center" textRotation="90"/>
    </xf>
    <xf numFmtId="0" fontId="1" fillId="0" borderId="2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4" fontId="0" fillId="0" borderId="0" xfId="0" applyNumberFormat="1"/>
    <xf numFmtId="44" fontId="0" fillId="0" borderId="9" xfId="0" applyNumberForma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0" fillId="0" borderId="1" xfId="0" applyNumberFormat="1" applyBorder="1"/>
    <xf numFmtId="0" fontId="0" fillId="4" borderId="0" xfId="0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44" fontId="0" fillId="6" borderId="16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0" fillId="7" borderId="7" xfId="1" applyFont="1" applyFill="1" applyBorder="1" applyAlignment="1">
      <alignment horizontal="center" vertical="center"/>
    </xf>
    <xf numFmtId="44" fontId="0" fillId="7" borderId="8" xfId="1" applyFon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0" fontId="3" fillId="0" borderId="0" xfId="0" applyFont="1"/>
    <xf numFmtId="0" fontId="3" fillId="0" borderId="3" xfId="0" applyFont="1" applyBorder="1"/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44" fontId="1" fillId="7" borderId="7" xfId="1" applyFont="1" applyFill="1" applyBorder="1" applyAlignment="1">
      <alignment horizontal="center" vertical="center"/>
    </xf>
    <xf numFmtId="44" fontId="0" fillId="7" borderId="14" xfId="1" applyFont="1" applyFill="1" applyBorder="1" applyAlignment="1">
      <alignment horizontal="center" vertical="center"/>
    </xf>
    <xf numFmtId="44" fontId="0" fillId="7" borderId="15" xfId="1" applyFont="1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44" fontId="0" fillId="7" borderId="16" xfId="1" applyFont="1" applyFill="1" applyBorder="1" applyAlignment="1">
      <alignment horizontal="center" vertical="center"/>
    </xf>
    <xf numFmtId="2" fontId="0" fillId="7" borderId="0" xfId="1" applyNumberFormat="1" applyFont="1" applyFill="1" applyAlignment="1">
      <alignment horizontal="center" vertical="center"/>
    </xf>
    <xf numFmtId="44" fontId="0" fillId="7" borderId="17" xfId="1" applyFont="1" applyFill="1" applyBorder="1" applyAlignment="1">
      <alignment horizontal="center" vertical="center"/>
    </xf>
    <xf numFmtId="2" fontId="0" fillId="7" borderId="1" xfId="1" applyNumberFormat="1" applyFont="1" applyFill="1" applyBorder="1" applyAlignment="1">
      <alignment horizontal="center" vertical="center"/>
    </xf>
    <xf numFmtId="44" fontId="0" fillId="7" borderId="18" xfId="1" applyFont="1" applyFill="1" applyBorder="1" applyAlignment="1">
      <alignment horizontal="center" vertical="center"/>
    </xf>
    <xf numFmtId="44" fontId="0" fillId="0" borderId="16" xfId="1" applyFont="1" applyBorder="1" applyAlignment="1">
      <alignment horizontal="center" vertical="center"/>
    </xf>
    <xf numFmtId="44" fontId="0" fillId="13" borderId="7" xfId="1" applyFont="1" applyFill="1" applyBorder="1" applyAlignment="1">
      <alignment horizontal="center" vertical="center"/>
    </xf>
    <xf numFmtId="2" fontId="0" fillId="13" borderId="0" xfId="0" applyNumberFormat="1" applyFill="1" applyAlignment="1">
      <alignment horizontal="center" vertical="center"/>
    </xf>
    <xf numFmtId="44" fontId="1" fillId="13" borderId="7" xfId="1" applyFont="1" applyFill="1" applyBorder="1" applyAlignment="1">
      <alignment horizontal="center" vertical="center"/>
    </xf>
    <xf numFmtId="44" fontId="0" fillId="13" borderId="8" xfId="1" applyFon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44" fontId="0" fillId="13" borderId="14" xfId="1" applyFont="1" applyFill="1" applyBorder="1" applyAlignment="1">
      <alignment horizontal="center" vertical="center"/>
    </xf>
    <xf numFmtId="44" fontId="0" fillId="13" borderId="15" xfId="1" applyFont="1" applyFill="1" applyBorder="1" applyAlignment="1">
      <alignment horizontal="center" vertical="center"/>
    </xf>
    <xf numFmtId="44" fontId="0" fillId="13" borderId="16" xfId="1" applyFont="1" applyFill="1" applyBorder="1" applyAlignment="1">
      <alignment horizontal="center" vertical="center"/>
    </xf>
    <xf numFmtId="2" fontId="0" fillId="13" borderId="0" xfId="1" applyNumberFormat="1" applyFont="1" applyFill="1" applyAlignment="1">
      <alignment horizontal="center" vertical="center"/>
    </xf>
    <xf numFmtId="44" fontId="0" fillId="13" borderId="17" xfId="1" applyFont="1" applyFill="1" applyBorder="1" applyAlignment="1">
      <alignment horizontal="center" vertical="center"/>
    </xf>
    <xf numFmtId="2" fontId="0" fillId="13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15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34" xfId="0" applyBorder="1"/>
    <xf numFmtId="2" fontId="0" fillId="16" borderId="0" xfId="0" applyNumberFormat="1" applyFill="1" applyAlignment="1">
      <alignment horizontal="center" vertical="center"/>
    </xf>
    <xf numFmtId="2" fontId="0" fillId="16" borderId="0" xfId="1" applyNumberFormat="1" applyFont="1" applyFill="1" applyAlignment="1">
      <alignment horizontal="center" vertical="center"/>
    </xf>
    <xf numFmtId="2" fontId="0" fillId="0" borderId="0" xfId="0" applyNumberFormat="1"/>
    <xf numFmtId="0" fontId="7" fillId="0" borderId="0" xfId="0" applyFont="1"/>
    <xf numFmtId="8" fontId="7" fillId="0" borderId="0" xfId="0" applyNumberFormat="1" applyFont="1"/>
    <xf numFmtId="0" fontId="7" fillId="0" borderId="1" xfId="0" applyFont="1" applyBorder="1"/>
    <xf numFmtId="8" fontId="7" fillId="0" borderId="1" xfId="0" applyNumberFormat="1" applyFont="1" applyBorder="1"/>
    <xf numFmtId="0" fontId="8" fillId="0" borderId="0" xfId="0" applyFont="1"/>
    <xf numFmtId="44" fontId="3" fillId="0" borderId="0" xfId="0" applyNumberFormat="1" applyFont="1"/>
    <xf numFmtId="44" fontId="1" fillId="0" borderId="0" xfId="0" applyNumberFormat="1" applyFont="1"/>
    <xf numFmtId="0" fontId="7" fillId="17" borderId="45" xfId="0" applyFont="1" applyFill="1" applyBorder="1"/>
    <xf numFmtId="0" fontId="7" fillId="17" borderId="0" xfId="0" applyFont="1" applyFill="1"/>
    <xf numFmtId="0" fontId="7" fillId="0" borderId="3" xfId="0" applyFont="1" applyBorder="1"/>
    <xf numFmtId="44" fontId="7" fillId="0" borderId="0" xfId="0" applyNumberFormat="1" applyFont="1"/>
    <xf numFmtId="44" fontId="7" fillId="17" borderId="45" xfId="0" applyNumberFormat="1" applyFont="1" applyFill="1" applyBorder="1"/>
    <xf numFmtId="44" fontId="7" fillId="18" borderId="45" xfId="0" applyNumberFormat="1" applyFont="1" applyFill="1" applyBorder="1"/>
    <xf numFmtId="44" fontId="7" fillId="18" borderId="47" xfId="0" applyNumberFormat="1" applyFont="1" applyFill="1" applyBorder="1"/>
    <xf numFmtId="2" fontId="7" fillId="18" borderId="9" xfId="0" applyNumberFormat="1" applyFont="1" applyFill="1" applyBorder="1" applyAlignment="1">
      <alignment horizontal="center" vertical="center"/>
    </xf>
    <xf numFmtId="2" fontId="7" fillId="18" borderId="0" xfId="0" applyNumberFormat="1" applyFont="1" applyFill="1" applyAlignment="1">
      <alignment horizontal="center" vertical="center"/>
    </xf>
    <xf numFmtId="44" fontId="7" fillId="7" borderId="45" xfId="0" applyNumberFormat="1" applyFont="1" applyFill="1" applyBorder="1"/>
    <xf numFmtId="2" fontId="7" fillId="7" borderId="0" xfId="0" applyNumberFormat="1" applyFont="1" applyFill="1" applyAlignment="1">
      <alignment horizontal="center" vertical="center"/>
    </xf>
    <xf numFmtId="44" fontId="0" fillId="7" borderId="45" xfId="1" applyFont="1" applyFill="1" applyBorder="1" applyAlignment="1">
      <alignment horizontal="center" vertical="center"/>
    </xf>
    <xf numFmtId="2" fontId="0" fillId="0" borderId="34" xfId="0" applyNumberFormat="1" applyBorder="1"/>
    <xf numFmtId="2" fontId="0" fillId="0" borderId="35" xfId="0" applyNumberFormat="1" applyBorder="1"/>
    <xf numFmtId="0" fontId="9" fillId="0" borderId="0" xfId="0" applyFont="1"/>
    <xf numFmtId="0" fontId="4" fillId="0" borderId="38" xfId="0" applyFont="1" applyBorder="1" applyAlignment="1">
      <alignment horizontal="center" vertical="center"/>
    </xf>
    <xf numFmtId="0" fontId="0" fillId="3" borderId="0" xfId="0" applyFill="1"/>
    <xf numFmtId="0" fontId="3" fillId="0" borderId="0" xfId="0" applyFont="1" applyAlignment="1">
      <alignment horizontal="center" vertical="center"/>
    </xf>
    <xf numFmtId="0" fontId="0" fillId="0" borderId="22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7" borderId="7" xfId="1" applyNumberFormat="1" applyFont="1" applyFill="1" applyBorder="1" applyAlignment="1">
      <alignment horizontal="center" vertical="center"/>
    </xf>
    <xf numFmtId="44" fontId="0" fillId="16" borderId="16" xfId="1" applyFont="1" applyFill="1" applyBorder="1" applyAlignment="1">
      <alignment horizontal="center" vertical="center"/>
    </xf>
    <xf numFmtId="3" fontId="9" fillId="0" borderId="0" xfId="0" applyNumberFormat="1" applyFont="1"/>
    <xf numFmtId="0" fontId="7" fillId="18" borderId="9" xfId="0" applyFont="1" applyFill="1" applyBorder="1"/>
    <xf numFmtId="0" fontId="7" fillId="18" borderId="45" xfId="0" applyFont="1" applyFill="1" applyBorder="1"/>
    <xf numFmtId="0" fontId="7" fillId="18" borderId="0" xfId="0" applyFont="1" applyFill="1"/>
    <xf numFmtId="0" fontId="7" fillId="0" borderId="9" xfId="0" applyFont="1" applyBorder="1"/>
    <xf numFmtId="44" fontId="7" fillId="0" borderId="9" xfId="0" applyNumberFormat="1" applyFont="1" applyBorder="1"/>
    <xf numFmtId="1" fontId="9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/>
    </xf>
    <xf numFmtId="1" fontId="9" fillId="0" borderId="0" xfId="0" applyNumberFormat="1" applyFont="1"/>
    <xf numFmtId="1" fontId="9" fillId="19" borderId="0" xfId="0" applyNumberFormat="1" applyFont="1" applyFill="1" applyAlignment="1">
      <alignment horizontal="center"/>
    </xf>
    <xf numFmtId="8" fontId="0" fillId="0" borderId="0" xfId="0" applyNumberFormat="1"/>
    <xf numFmtId="164" fontId="7" fillId="17" borderId="45" xfId="0" applyNumberFormat="1" applyFont="1" applyFill="1" applyBorder="1"/>
    <xf numFmtId="164" fontId="0" fillId="6" borderId="16" xfId="1" applyNumberFormat="1" applyFont="1" applyFill="1" applyBorder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7" fillId="0" borderId="0" xfId="0" applyNumberFormat="1" applyFont="1"/>
    <xf numFmtId="164" fontId="0" fillId="0" borderId="0" xfId="1" applyNumberFormat="1" applyFont="1" applyAlignment="1">
      <alignment horizontal="center" vertical="center"/>
    </xf>
    <xf numFmtId="8" fontId="7" fillId="18" borderId="47" xfId="0" applyNumberFormat="1" applyFont="1" applyFill="1" applyBorder="1"/>
    <xf numFmtId="8" fontId="7" fillId="18" borderId="45" xfId="0" applyNumberFormat="1" applyFont="1" applyFill="1" applyBorder="1"/>
    <xf numFmtId="8" fontId="7" fillId="18" borderId="14" xfId="0" applyNumberFormat="1" applyFont="1" applyFill="1" applyBorder="1"/>
    <xf numFmtId="165" fontId="7" fillId="18" borderId="45" xfId="0" applyNumberFormat="1" applyFont="1" applyFill="1" applyBorder="1"/>
    <xf numFmtId="8" fontId="7" fillId="0" borderId="9" xfId="0" applyNumberFormat="1" applyFont="1" applyBorder="1"/>
    <xf numFmtId="8" fontId="0" fillId="7" borderId="17" xfId="1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2" fontId="0" fillId="0" borderId="37" xfId="0" applyNumberFormat="1" applyBorder="1" applyAlignment="1">
      <alignment horizontal="center" vertical="center"/>
    </xf>
    <xf numFmtId="44" fontId="0" fillId="0" borderId="37" xfId="0" applyNumberFormat="1" applyBorder="1"/>
    <xf numFmtId="165" fontId="0" fillId="0" borderId="37" xfId="0" applyNumberFormat="1" applyBorder="1" applyAlignment="1">
      <alignment horizontal="center" vertical="center"/>
    </xf>
    <xf numFmtId="8" fontId="0" fillId="0" borderId="37" xfId="0" applyNumberFormat="1" applyBorder="1"/>
    <xf numFmtId="44" fontId="0" fillId="0" borderId="37" xfId="0" applyNumberFormat="1" applyBorder="1" applyAlignment="1">
      <alignment horizontal="center" vertical="center"/>
    </xf>
    <xf numFmtId="8" fontId="0" fillId="0" borderId="37" xfId="0" applyNumberFormat="1" applyBorder="1" applyAlignment="1">
      <alignment horizontal="center" vertical="center"/>
    </xf>
    <xf numFmtId="165" fontId="0" fillId="0" borderId="0" xfId="0" applyNumberFormat="1"/>
    <xf numFmtId="0" fontId="0" fillId="0" borderId="48" xfId="0" applyBorder="1" applyAlignment="1">
      <alignment horizontal="center" vertical="center"/>
    </xf>
    <xf numFmtId="2" fontId="0" fillId="0" borderId="48" xfId="0" applyNumberFormat="1" applyBorder="1" applyAlignment="1">
      <alignment horizontal="center" vertical="center"/>
    </xf>
    <xf numFmtId="44" fontId="0" fillId="0" borderId="48" xfId="0" applyNumberFormat="1" applyBorder="1"/>
    <xf numFmtId="165" fontId="0" fillId="0" borderId="48" xfId="0" applyNumberForma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2" fontId="0" fillId="0" borderId="51" xfId="0" applyNumberFormat="1" applyBorder="1" applyAlignment="1">
      <alignment horizontal="center" vertical="center"/>
    </xf>
    <xf numFmtId="165" fontId="0" fillId="0" borderId="51" xfId="0" applyNumberFormat="1" applyBorder="1" applyAlignment="1">
      <alignment horizontal="center" vertical="center"/>
    </xf>
    <xf numFmtId="165" fontId="0" fillId="0" borderId="52" xfId="0" applyNumberForma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2" fontId="0" fillId="0" borderId="54" xfId="0" applyNumberFormat="1" applyBorder="1" applyAlignment="1">
      <alignment horizontal="center" vertical="center"/>
    </xf>
    <xf numFmtId="165" fontId="0" fillId="0" borderId="54" xfId="0" applyNumberFormat="1" applyBorder="1" applyAlignment="1">
      <alignment horizontal="center" vertical="center"/>
    </xf>
    <xf numFmtId="165" fontId="0" fillId="0" borderId="55" xfId="0" applyNumberForma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64" fontId="7" fillId="18" borderId="45" xfId="0" applyNumberFormat="1" applyFont="1" applyFill="1" applyBorder="1"/>
    <xf numFmtId="4" fontId="7" fillId="17" borderId="45" xfId="0" applyNumberFormat="1" applyFont="1" applyFill="1" applyBorder="1"/>
    <xf numFmtId="4" fontId="7" fillId="0" borderId="0" xfId="0" applyNumberFormat="1" applyFont="1"/>
    <xf numFmtId="1" fontId="10" fillId="0" borderId="0" xfId="0" applyNumberFormat="1" applyFont="1"/>
    <xf numFmtId="0" fontId="11" fillId="0" borderId="0" xfId="0" applyFont="1" applyAlignment="1">
      <alignment wrapText="1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 wrapText="1"/>
    </xf>
    <xf numFmtId="1" fontId="0" fillId="0" borderId="0" xfId="0" applyNumberFormat="1" applyAlignment="1">
      <alignment horizontal="left"/>
    </xf>
    <xf numFmtId="0" fontId="0" fillId="20" borderId="0" xfId="0" applyFill="1" applyAlignment="1">
      <alignment horizontal="left"/>
    </xf>
    <xf numFmtId="0" fontId="0" fillId="0" borderId="0" xfId="0" applyAlignment="1">
      <alignment wrapText="1"/>
    </xf>
    <xf numFmtId="0" fontId="12" fillId="0" borderId="0" xfId="0" applyFont="1"/>
    <xf numFmtId="0" fontId="0" fillId="20" borderId="0" xfId="0" applyFill="1" applyAlignment="1">
      <alignment horizontal="center"/>
    </xf>
    <xf numFmtId="0" fontId="9" fillId="16" borderId="0" xfId="0" applyFont="1" applyFill="1"/>
    <xf numFmtId="0" fontId="0" fillId="16" borderId="0" xfId="0" applyFill="1"/>
    <xf numFmtId="0" fontId="0" fillId="16" borderId="0" xfId="0" applyFill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/>
    </xf>
    <xf numFmtId="0" fontId="0" fillId="0" borderId="22" xfId="0" applyBorder="1"/>
    <xf numFmtId="0" fontId="6" fillId="4" borderId="0" xfId="0" applyFont="1" applyFill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3" borderId="41" xfId="0" applyFont="1" applyFill="1" applyBorder="1" applyAlignment="1">
      <alignment horizontal="center" vertical="center" wrapText="1"/>
    </xf>
    <xf numFmtId="0" fontId="0" fillId="0" borderId="25" xfId="0" applyBorder="1"/>
    <xf numFmtId="0" fontId="4" fillId="3" borderId="6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0" fillId="0" borderId="24" xfId="0" applyBorder="1"/>
    <xf numFmtId="0" fontId="4" fillId="0" borderId="43" xfId="0" applyFont="1" applyBorder="1" applyAlignment="1">
      <alignment horizontal="center" vertical="center" wrapText="1"/>
    </xf>
    <xf numFmtId="0" fontId="0" fillId="0" borderId="26" xfId="0" applyBorder="1"/>
    <xf numFmtId="0" fontId="4" fillId="3" borderId="39" xfId="0" applyFont="1" applyFill="1" applyBorder="1" applyAlignment="1">
      <alignment horizontal="center" vertical="center" wrapText="1"/>
    </xf>
    <xf numFmtId="0" fontId="0" fillId="0" borderId="21" xfId="0" applyBorder="1"/>
    <xf numFmtId="0" fontId="4" fillId="4" borderId="37" xfId="0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3" fillId="0" borderId="0" xfId="0" applyFont="1" applyAlignment="1">
      <alignment horizontal="center" vertical="center"/>
    </xf>
    <xf numFmtId="0" fontId="1" fillId="0" borderId="0" xfId="0" applyFont="1"/>
    <xf numFmtId="0" fontId="4" fillId="3" borderId="40" xfId="0" applyFont="1" applyFill="1" applyBorder="1" applyAlignment="1">
      <alignment horizontal="center" vertical="center" wrapText="1"/>
    </xf>
    <xf numFmtId="0" fontId="0" fillId="0" borderId="23" xfId="0" applyBorder="1"/>
    <xf numFmtId="0" fontId="4" fillId="0" borderId="43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6" fillId="2" borderId="0" xfId="0" applyFont="1" applyFill="1" applyAlignment="1">
      <alignment horizontal="center" vertical="center" textRotation="90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20" borderId="0" xfId="0" applyFill="1" applyAlignment="1">
      <alignment horizontal="center" vertical="center"/>
    </xf>
    <xf numFmtId="0" fontId="4" fillId="10" borderId="56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 wrapText="1"/>
    </xf>
    <xf numFmtId="0" fontId="4" fillId="6" borderId="4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textRotation="90"/>
    </xf>
    <xf numFmtId="0" fontId="4" fillId="6" borderId="39" xfId="0" applyFont="1" applyFill="1" applyBorder="1" applyAlignment="1">
      <alignment horizontal="center" vertical="center" wrapText="1"/>
    </xf>
    <xf numFmtId="0" fontId="4" fillId="6" borderId="42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textRotation="90"/>
    </xf>
    <xf numFmtId="0" fontId="4" fillId="6" borderId="44" xfId="0" applyFont="1" applyFill="1" applyBorder="1" applyAlignment="1">
      <alignment horizontal="center" vertical="center" wrapText="1"/>
    </xf>
    <xf numFmtId="0" fontId="0" fillId="0" borderId="20" xfId="0" applyBorder="1"/>
    <xf numFmtId="0" fontId="4" fillId="4" borderId="49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 textRotation="90"/>
    </xf>
    <xf numFmtId="0" fontId="0" fillId="15" borderId="0" xfId="0" applyFill="1"/>
    <xf numFmtId="0" fontId="4" fillId="7" borderId="42" xfId="0" applyFont="1" applyFill="1" applyBorder="1" applyAlignment="1">
      <alignment horizontal="center" vertical="center" wrapText="1"/>
    </xf>
    <xf numFmtId="0" fontId="4" fillId="7" borderId="4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textRotation="90"/>
    </xf>
    <xf numFmtId="0" fontId="4" fillId="7" borderId="40" xfId="0" applyFont="1" applyFill="1" applyBorder="1" applyAlignment="1">
      <alignment horizontal="center" vertical="center" wrapText="1"/>
    </xf>
    <xf numFmtId="0" fontId="4" fillId="7" borderId="39" xfId="0" applyFont="1" applyFill="1" applyBorder="1" applyAlignment="1">
      <alignment horizontal="center" vertical="center" wrapText="1"/>
    </xf>
    <xf numFmtId="0" fontId="4" fillId="7" borderId="44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6" fillId="12" borderId="0" xfId="0" applyFont="1" applyFill="1" applyAlignment="1">
      <alignment horizontal="center" vertical="center" textRotation="90"/>
    </xf>
    <xf numFmtId="0" fontId="4" fillId="14" borderId="27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4" fillId="13" borderId="46" xfId="0" applyFont="1" applyFill="1" applyBorder="1" applyAlignment="1">
      <alignment horizontal="center" vertical="center" wrapText="1"/>
    </xf>
    <xf numFmtId="0" fontId="4" fillId="13" borderId="25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0" fontId="4" fillId="13" borderId="20" xfId="0" applyFont="1" applyFill="1" applyBorder="1" applyAlignment="1">
      <alignment horizontal="center" vertical="center" wrapText="1"/>
    </xf>
    <xf numFmtId="0" fontId="4" fillId="13" borderId="18" xfId="0" applyFont="1" applyFill="1" applyBorder="1" applyAlignment="1">
      <alignment horizontal="center" vertical="center" wrapText="1"/>
    </xf>
    <xf numFmtId="0" fontId="4" fillId="13" borderId="24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 textRotation="90"/>
    </xf>
    <xf numFmtId="0" fontId="4" fillId="13" borderId="12" xfId="0" applyFont="1" applyFill="1" applyBorder="1" applyAlignment="1">
      <alignment horizontal="center" vertical="center" wrapText="1"/>
    </xf>
    <xf numFmtId="0" fontId="4" fillId="13" borderId="21" xfId="0" applyFont="1" applyFill="1" applyBorder="1" applyAlignment="1">
      <alignment horizontal="center" vertical="center" wrapText="1"/>
    </xf>
    <xf numFmtId="0" fontId="4" fillId="13" borderId="19" xfId="0" applyFont="1" applyFill="1" applyBorder="1" applyAlignment="1">
      <alignment horizontal="center" vertical="center" wrapText="1"/>
    </xf>
    <xf numFmtId="0" fontId="4" fillId="13" borderId="23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B2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mey Pavey" id="{3F0575F1-D21F-43CE-BFEC-9D2A40880C14}" userId="" providerId="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5-04-01T18:16:54.31" personId="{3F0575F1-D21F-43CE-BFEC-9D2A40880C14}" id="{F3833068-3AD6-4F77-8586-CD71EE7D6355}">
    <text>updated</text>
  </threadedComment>
  <threadedComment ref="F9" dT="2025-04-01T18:41:45.24" personId="{3F0575F1-D21F-43CE-BFEC-9D2A40880C14}" id="{C73A2388-160F-4C7C-93C8-07D7337D9EBF}">
    <text>updated</text>
  </threadedComment>
  <threadedComment ref="F11" dT="2025-04-01T18:43:24.85" personId="{3F0575F1-D21F-43CE-BFEC-9D2A40880C14}" id="{24E77737-147B-4505-9B68-0BA04D62C3A6}">
    <text>Updated</text>
  </threadedComment>
  <threadedComment ref="F12" dT="2025-04-01T18:43:16.32" personId="{3F0575F1-D21F-43CE-BFEC-9D2A40880C14}" id="{06155CA5-CF4B-41FB-8EDB-15773A71EC63}">
    <text>updated</text>
  </threadedComment>
  <threadedComment ref="F17" dT="2025-04-01T16:56:26.94" personId="{3F0575F1-D21F-43CE-BFEC-9D2A40880C14}" id="{04FC3AAF-B3FF-466D-B87A-65E3B20559A5}">
    <text>Updated</text>
  </threadedComment>
  <threadedComment ref="F18" dT="2025-04-01T18:37:16.10" personId="{3F0575F1-D21F-43CE-BFEC-9D2A40880C14}" id="{7924ABB0-76EA-49A1-AF0A-984DCB59CA26}">
    <text>updated</text>
  </threadedComment>
  <threadedComment ref="F19" dT="2025-04-01T18:34:27.00" personId="{3F0575F1-D21F-43CE-BFEC-9D2A40880C14}" id="{F8DC15B0-BA5C-436E-9082-D75E6F3B76E3}">
    <text>updated</text>
  </threadedComment>
  <threadedComment ref="F20" dT="2025-04-01T18:35:17.83" personId="{3F0575F1-D21F-43CE-BFEC-9D2A40880C14}" id="{D06A8A6E-6058-4337-BAFE-353343EDB2C7}">
    <text>updated</text>
  </threadedComment>
  <threadedComment ref="F22" dT="2025-04-01T18:36:09.15" personId="{3F0575F1-D21F-43CE-BFEC-9D2A40880C14}" id="{7B9B2BEF-640E-4676-A36A-0B5238559F61}">
    <text>updated</text>
  </threadedComment>
  <threadedComment ref="F23" dT="2025-04-02T14:47:47.49" personId="{3F0575F1-D21F-43CE-BFEC-9D2A40880C14}" id="{2BBED47A-F566-4189-AEEB-9614771B03EF}">
    <text>meter number change as of 3/2025</text>
  </threadedComment>
  <threadedComment ref="F24" dT="2025-04-02T14:28:20.75" personId="{3F0575F1-D21F-43CE-BFEC-9D2A40880C14}" id="{EBBAB6C7-C69F-4D54-A4B3-46EF25B0ECBC}">
    <text>updated</text>
  </threadedComment>
  <threadedComment ref="F28" dT="2025-04-02T14:29:06.04" personId="{3F0575F1-D21F-43CE-BFEC-9D2A40880C14}" id="{16B54102-7697-45B1-8450-0B9FFFB40328}">
    <text>updated</text>
  </threadedComment>
  <threadedComment ref="B35" dT="2025-04-02T14:30:00.35" personId="{3F0575F1-D21F-43CE-BFEC-9D2A40880C14}" id="{42B20BC5-CDBA-4457-AC7F-81240DE96829}">
    <text>Not in list of addresses from AmWater</text>
  </threadedComment>
  <threadedComment ref="F39" dT="2025-04-01T18:54:33.75" personId="{3F0575F1-D21F-43CE-BFEC-9D2A40880C14}" id="{8090E8B0-5D46-482F-AF6B-C1FFD1E6DCC1}">
    <text>updated</text>
  </threadedComment>
  <threadedComment ref="F40" dT="2025-04-01T18:30:57.71" personId="{3F0575F1-D21F-43CE-BFEC-9D2A40880C14}" id="{D667F9E6-9160-4C70-AC6F-BF13273E9259}">
    <text>updated</text>
  </threadedComment>
  <threadedComment ref="F41" dT="2025-04-01T19:21:41.31" personId="{3F0575F1-D21F-43CE-BFEC-9D2A40880C14}" id="{B5924D90-0FB2-4422-B876-457383D3405B}">
    <text>updated</text>
  </threadedComment>
  <threadedComment ref="F46" dT="2025-04-01T18:28:04.61" personId="{3F0575F1-D21F-43CE-BFEC-9D2A40880C14}" id="{2EB5175A-024C-4A61-A7EE-1BC9E7FF2FB9}">
    <text>updated</text>
  </threadedComment>
  <threadedComment ref="F47" dT="2025-04-01T18:19:00.06" personId="{3F0575F1-D21F-43CE-BFEC-9D2A40880C14}" id="{6579024A-31AD-4E52-9E03-594D5D70C20D}">
    <text>updated</text>
  </threadedComment>
  <threadedComment ref="F51" dT="2025-04-01T16:42:33.10" personId="{3F0575F1-D21F-43CE-BFEC-9D2A40880C14}" id="{45FD4BD9-FD5F-4335-B5CD-6B9DA5FB3BB3}">
    <text>updated</text>
  </threadedComment>
  <threadedComment ref="F55" dT="2025-04-01T16:43:54.37" personId="{3F0575F1-D21F-43CE-BFEC-9D2A40880C14}" id="{455F8106-E383-4A9A-9598-3DA8869BFBBD}">
    <text>updated</text>
  </threadedComment>
  <threadedComment ref="B59" dT="2025-04-02T14:30:53.06" personId="{3F0575F1-D21F-43CE-BFEC-9D2A40880C14}" id="{9067C6D5-CA19-465E-A6B0-BBE031EAE206}">
    <text>Not in list of addresses from AmWater</text>
  </threadedComment>
  <threadedComment ref="F62" dT="2025-04-01T16:50:01.50" personId="{3F0575F1-D21F-43CE-BFEC-9D2A40880C14}" id="{DB99D1E1-1836-4888-953A-93FD3C399816}">
    <text>Updated</text>
  </threadedComment>
  <threadedComment ref="F64" dT="2025-04-01T16:54:08.47" personId="{3F0575F1-D21F-43CE-BFEC-9D2A40880C14}" id="{79FD5AED-3EDC-4C5F-B724-51302AEB50F2}">
    <text>Updated</text>
  </threadedComment>
  <threadedComment ref="F68" dT="2025-04-01T16:50:38.80" personId="{3F0575F1-D21F-43CE-BFEC-9D2A40880C14}" id="{87AB9D59-CF3A-43F6-A2F5-B357E4B33E51}">
    <text>updated</text>
  </threadedComment>
  <threadedComment ref="F71" dT="2025-04-01T19:08:36.72" personId="{3F0575F1-D21F-43CE-BFEC-9D2A40880C14}" id="{40C501A5-51F6-4B80-A0DE-3D6CD9748444}">
    <text>updated</text>
  </threadedComment>
  <threadedComment ref="F78" dT="2025-04-01T19:14:00.04" personId="{3F0575F1-D21F-43CE-BFEC-9D2A40880C14}" id="{8E2FA58A-35FF-45D3-9726-D90AEB00E39E}">
    <text>updated</text>
  </threadedComment>
  <threadedComment ref="F81" dT="2025-04-01T19:06:29.28" personId="{3F0575F1-D21F-43CE-BFEC-9D2A40880C14}" id="{B402EE32-4BF0-4BC6-92A1-7F80D458DFF8}">
    <text>updated</text>
  </threadedComment>
  <threadedComment ref="F105" dT="2025-04-01T16:52:46.24" personId="{3F0575F1-D21F-43CE-BFEC-9D2A40880C14}" id="{17DB171E-DD3C-40B5-8EC2-D0CC3A27C384}">
    <text>Updated</text>
  </threadedComment>
  <threadedComment ref="F107" dT="2025-04-01T16:52:12.99" personId="{3F0575F1-D21F-43CE-BFEC-9D2A40880C14}" id="{5AAD5EB6-7A3F-49A5-B1D6-2E5E96241611}">
    <text>Updated</text>
  </threadedComment>
  <threadedComment ref="F108" dT="2025-04-01T16:51:37.86" personId="{3F0575F1-D21F-43CE-BFEC-9D2A40880C14}" id="{C0C79723-AB6F-4510-9EEB-A3F864EAB69D}">
    <text>Updated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38"/>
  <sheetViews>
    <sheetView topLeftCell="A7" zoomScale="111" zoomScaleNormal="75" workbookViewId="0">
      <pane xSplit="3" topLeftCell="D1" activePane="topRight" state="frozen"/>
      <selection pane="topRight" activeCell="F8" sqref="F8"/>
    </sheetView>
  </sheetViews>
  <sheetFormatPr defaultColWidth="11" defaultRowHeight="15.6" x14ac:dyDescent="0.3"/>
  <cols>
    <col min="1" max="1" width="12.19921875" customWidth="1"/>
    <col min="2" max="2" width="36.69921875" customWidth="1"/>
    <col min="3" max="3" width="16.5" customWidth="1"/>
    <col min="4" max="4" width="17.8984375" customWidth="1"/>
    <col min="5" max="5" width="17.8984375" style="72" customWidth="1"/>
    <col min="6" max="6" width="21.59765625" style="72" bestFit="1" customWidth="1"/>
    <col min="8" max="8" width="13.59765625" bestFit="1" customWidth="1"/>
    <col min="10" max="10" width="14.59765625" bestFit="1" customWidth="1"/>
    <col min="12" max="12" width="11.59765625" bestFit="1" customWidth="1"/>
    <col min="23" max="23" width="13.8984375" customWidth="1"/>
    <col min="24" max="24" width="18.3984375" customWidth="1"/>
    <col min="28" max="28" width="13.5" customWidth="1"/>
    <col min="39" max="39" width="14" bestFit="1" customWidth="1"/>
    <col min="40" max="41" width="14" customWidth="1"/>
  </cols>
  <sheetData>
    <row r="1" spans="1:43" s="1" customFormat="1" ht="25.5" customHeight="1" x14ac:dyDescent="0.3">
      <c r="A1" s="195" t="s">
        <v>0</v>
      </c>
      <c r="B1" s="196"/>
      <c r="C1" s="105" t="s">
        <v>1</v>
      </c>
      <c r="D1" s="70" t="s">
        <v>2</v>
      </c>
      <c r="E1" s="105"/>
      <c r="F1" s="2"/>
      <c r="W1" s="87"/>
    </row>
    <row r="2" spans="1:43" x14ac:dyDescent="0.3">
      <c r="D2" t="s">
        <v>3</v>
      </c>
      <c r="G2" s="30"/>
      <c r="H2" s="80"/>
      <c r="S2" s="30"/>
      <c r="W2" s="30"/>
      <c r="X2" s="30"/>
      <c r="Y2" s="80"/>
      <c r="Z2" s="80"/>
      <c r="AB2" s="30"/>
    </row>
    <row r="3" spans="1:43" x14ac:dyDescent="0.3">
      <c r="H3" s="80"/>
      <c r="I3" s="121"/>
      <c r="K3" s="30" t="e">
        <f>AVERAGE(K6:K25)</f>
        <v>#DIV/0!</v>
      </c>
      <c r="M3" s="30" t="e">
        <f>AVERAGE(M6:M25)</f>
        <v>#DIV/0!</v>
      </c>
      <c r="W3" s="80"/>
      <c r="X3" s="80"/>
      <c r="Y3" s="80"/>
    </row>
    <row r="4" spans="1:43" s="2" customFormat="1" ht="20.100000000000001" customHeight="1" x14ac:dyDescent="0.3">
      <c r="A4" s="201" t="s">
        <v>4</v>
      </c>
      <c r="B4" s="176" t="s">
        <v>5</v>
      </c>
      <c r="C4" s="176" t="s">
        <v>6</v>
      </c>
      <c r="D4" s="176" t="s">
        <v>7</v>
      </c>
      <c r="E4" s="103"/>
      <c r="F4" s="199" t="s">
        <v>8</v>
      </c>
      <c r="G4" s="183" t="s">
        <v>9</v>
      </c>
      <c r="H4" s="190" t="s">
        <v>10</v>
      </c>
      <c r="I4" s="185" t="s">
        <v>11</v>
      </c>
      <c r="J4" s="185" t="s">
        <v>12</v>
      </c>
      <c r="K4" s="197" t="s">
        <v>13</v>
      </c>
      <c r="L4" s="190" t="s">
        <v>14</v>
      </c>
      <c r="M4" s="185" t="s">
        <v>15</v>
      </c>
      <c r="N4" s="185" t="s">
        <v>16</v>
      </c>
      <c r="O4" s="186" t="s">
        <v>17</v>
      </c>
      <c r="P4" s="181" t="s">
        <v>18</v>
      </c>
      <c r="Q4" s="185" t="s">
        <v>19</v>
      </c>
      <c r="R4" s="185" t="s">
        <v>20</v>
      </c>
      <c r="S4" s="186" t="s">
        <v>21</v>
      </c>
      <c r="T4" s="181" t="s">
        <v>22</v>
      </c>
      <c r="U4" s="185" t="s">
        <v>23</v>
      </c>
      <c r="V4" s="185" t="s">
        <v>24</v>
      </c>
      <c r="W4" s="186" t="s">
        <v>25</v>
      </c>
      <c r="X4" s="181" t="s">
        <v>26</v>
      </c>
      <c r="Y4" s="185" t="s">
        <v>27</v>
      </c>
      <c r="Z4" s="185" t="s">
        <v>28</v>
      </c>
      <c r="AA4" s="186" t="s">
        <v>29</v>
      </c>
      <c r="AB4" s="181" t="s">
        <v>30</v>
      </c>
      <c r="AC4" s="185" t="s">
        <v>31</v>
      </c>
      <c r="AD4" s="188" t="s">
        <v>32</v>
      </c>
      <c r="AF4" s="178" t="s">
        <v>33</v>
      </c>
      <c r="AH4" s="192" t="s">
        <v>34</v>
      </c>
      <c r="AI4" s="193"/>
      <c r="AJ4" s="193"/>
      <c r="AK4" s="193"/>
      <c r="AL4" s="193"/>
      <c r="AM4" s="193"/>
      <c r="AN4" s="193"/>
      <c r="AO4" s="193"/>
      <c r="AP4" s="194"/>
    </row>
    <row r="5" spans="1:43" s="2" customFormat="1" ht="20.100000000000001" customHeight="1" x14ac:dyDescent="0.3">
      <c r="A5" s="179"/>
      <c r="B5" s="177"/>
      <c r="C5" s="177"/>
      <c r="D5" s="177"/>
      <c r="E5" s="106" t="s">
        <v>35</v>
      </c>
      <c r="F5" s="200"/>
      <c r="G5" s="184"/>
      <c r="H5" s="191"/>
      <c r="I5" s="177"/>
      <c r="J5" s="177"/>
      <c r="K5" s="198"/>
      <c r="L5" s="191"/>
      <c r="M5" s="177"/>
      <c r="N5" s="177"/>
      <c r="O5" s="187"/>
      <c r="P5" s="182"/>
      <c r="Q5" s="177"/>
      <c r="R5" s="177"/>
      <c r="S5" s="187"/>
      <c r="T5" s="182"/>
      <c r="U5" s="177"/>
      <c r="V5" s="177"/>
      <c r="W5" s="187"/>
      <c r="X5" s="182"/>
      <c r="Y5" s="177"/>
      <c r="Z5" s="177"/>
      <c r="AA5" s="187"/>
      <c r="AB5" s="182"/>
      <c r="AC5" s="177"/>
      <c r="AD5" s="189"/>
      <c r="AF5" s="179"/>
      <c r="AH5" s="73" t="s">
        <v>36</v>
      </c>
      <c r="AI5" s="74" t="s">
        <v>37</v>
      </c>
      <c r="AJ5" s="75" t="s">
        <v>38</v>
      </c>
      <c r="AK5" s="75" t="s">
        <v>39</v>
      </c>
      <c r="AL5" s="75" t="s">
        <v>40</v>
      </c>
      <c r="AM5" s="75" t="s">
        <v>41</v>
      </c>
      <c r="AN5" s="75" t="s">
        <v>42</v>
      </c>
      <c r="AO5" s="38" t="s">
        <v>43</v>
      </c>
      <c r="AP5" s="76" t="s">
        <v>44</v>
      </c>
    </row>
    <row r="6" spans="1:43" x14ac:dyDescent="0.3">
      <c r="A6" s="180"/>
      <c r="B6" s="34" t="s">
        <v>45</v>
      </c>
      <c r="C6" s="3" t="s">
        <v>42</v>
      </c>
      <c r="D6" s="3" t="s">
        <v>42</v>
      </c>
      <c r="E6" s="116">
        <v>220025145348</v>
      </c>
      <c r="F6" s="4">
        <v>64574279</v>
      </c>
      <c r="G6" s="13"/>
      <c r="H6" s="14"/>
      <c r="I6" s="82"/>
      <c r="J6" s="81"/>
      <c r="K6" s="13"/>
      <c r="L6" s="14"/>
      <c r="M6" s="10"/>
      <c r="N6" s="16"/>
      <c r="O6" s="13"/>
      <c r="P6" s="14"/>
      <c r="Q6" s="10"/>
      <c r="R6" s="19"/>
      <c r="S6" s="13"/>
      <c r="T6" s="14"/>
      <c r="U6" s="82"/>
      <c r="V6" s="81"/>
      <c r="W6" s="13"/>
      <c r="X6" s="14"/>
      <c r="Y6" s="10"/>
      <c r="Z6" s="16"/>
      <c r="AA6" s="13"/>
      <c r="AB6" s="14"/>
      <c r="AC6" s="10"/>
      <c r="AD6" s="19"/>
      <c r="AF6" s="180"/>
      <c r="AH6" s="24" t="s">
        <v>46</v>
      </c>
      <c r="AI6" s="16">
        <f>SUM(H6:H88)</f>
        <v>0</v>
      </c>
      <c r="AJ6" s="31">
        <f>SUM(G6:G88)</f>
        <v>0</v>
      </c>
      <c r="AK6" s="80">
        <f>H71+H80</f>
        <v>0</v>
      </c>
      <c r="AL6" s="80">
        <f>H7+H31+H32+H34+H35+H43+H44+H54+H55+H75</f>
        <v>0</v>
      </c>
      <c r="AM6" s="45">
        <f>H72</f>
        <v>0</v>
      </c>
      <c r="AN6" s="16">
        <f>SUM(H9:H16) + SUM(H18:H29)</f>
        <v>0</v>
      </c>
      <c r="AO6" s="16">
        <f>SUM(H36:H38)+SUM(H40:H42)+SUM(H45:H53)+SUM(H56:H58)+H61+SUM(H63:H69)</f>
        <v>0</v>
      </c>
      <c r="AP6" s="100">
        <f>H6+H73+H81+H82+H41+H83+H84</f>
        <v>0</v>
      </c>
      <c r="AQ6" s="80">
        <f>AM6+AN6+AO6</f>
        <v>0</v>
      </c>
    </row>
    <row r="7" spans="1:43" x14ac:dyDescent="0.3">
      <c r="A7" s="180"/>
      <c r="B7" s="34" t="s">
        <v>47</v>
      </c>
      <c r="C7" s="3" t="s">
        <v>42</v>
      </c>
      <c r="D7" s="3" t="s">
        <v>42</v>
      </c>
      <c r="E7" s="116">
        <v>220025145379</v>
      </c>
      <c r="F7" s="4">
        <v>27817759</v>
      </c>
      <c r="G7" s="13"/>
      <c r="H7" s="14"/>
      <c r="I7" s="82"/>
      <c r="J7" s="81"/>
      <c r="K7" s="13"/>
      <c r="L7" s="14"/>
      <c r="M7" s="10"/>
      <c r="N7" s="16"/>
      <c r="O7" s="13"/>
      <c r="P7" s="14"/>
      <c r="Q7" s="10"/>
      <c r="R7" s="19"/>
      <c r="S7" s="13"/>
      <c r="T7" s="14"/>
      <c r="U7" s="82"/>
      <c r="V7" s="81"/>
      <c r="W7" s="13"/>
      <c r="X7" s="14"/>
      <c r="Y7" s="10"/>
      <c r="Z7" s="16"/>
      <c r="AA7" s="13"/>
      <c r="AB7" s="14"/>
      <c r="AC7" s="10"/>
      <c r="AD7" s="19"/>
      <c r="AF7" s="180"/>
      <c r="AH7" s="25" t="s">
        <v>48</v>
      </c>
      <c r="AI7" s="16">
        <f>SUM(J6:J88)</f>
        <v>0</v>
      </c>
      <c r="AJ7" s="32">
        <f>SUM(I6:I88)</f>
        <v>0</v>
      </c>
      <c r="AK7" s="80">
        <f>J71+J80</f>
        <v>0</v>
      </c>
      <c r="AL7" s="80">
        <f>J7+J31+J32+J34+J35+J43+J44+J54+J55+J75</f>
        <v>0</v>
      </c>
      <c r="AM7" s="16">
        <f>J72</f>
        <v>0</v>
      </c>
      <c r="AN7" s="16">
        <f>SUM(J9:J16) + SUM(J18:J29)</f>
        <v>0</v>
      </c>
      <c r="AO7" s="16">
        <f>SUM(J36:J38)+SUM(J40:J42)+SUM(J45:J53)+SUM(J56:J58)+J61+SUM(J63:J69)</f>
        <v>0</v>
      </c>
      <c r="AP7" s="100">
        <f>J6+J73+J81+J82+J41+J83+J84</f>
        <v>0</v>
      </c>
      <c r="AQ7" s="80">
        <f t="shared" ref="AQ7:AQ13" si="0">AM7+AN7+AO7</f>
        <v>0</v>
      </c>
    </row>
    <row r="8" spans="1:43" x14ac:dyDescent="0.3">
      <c r="A8" s="180"/>
      <c r="B8" s="34" t="s">
        <v>49</v>
      </c>
      <c r="C8" s="3" t="s">
        <v>42</v>
      </c>
      <c r="D8" s="3" t="s">
        <v>42</v>
      </c>
      <c r="E8" s="116">
        <v>220025145423</v>
      </c>
      <c r="F8" s="4">
        <v>27318552</v>
      </c>
      <c r="G8" s="13"/>
      <c r="H8" s="14"/>
      <c r="I8" s="82"/>
      <c r="J8" s="81"/>
      <c r="K8" s="13"/>
      <c r="L8" s="14"/>
      <c r="M8" s="10"/>
      <c r="N8" s="16"/>
      <c r="O8" s="13"/>
      <c r="P8" s="14"/>
      <c r="Q8" s="10"/>
      <c r="R8" s="19"/>
      <c r="S8" s="13"/>
      <c r="T8" s="14"/>
      <c r="U8" s="82"/>
      <c r="V8" s="81"/>
      <c r="W8" s="13"/>
      <c r="X8" s="14"/>
      <c r="Y8" s="10"/>
      <c r="Z8" s="16"/>
      <c r="AA8" s="13"/>
      <c r="AB8" s="14"/>
      <c r="AC8" s="10"/>
      <c r="AD8" s="19"/>
      <c r="AF8" s="180"/>
      <c r="AH8" s="25" t="s">
        <v>50</v>
      </c>
      <c r="AI8" s="16">
        <f>SUM(L6:L88)</f>
        <v>0</v>
      </c>
      <c r="AJ8" s="32">
        <f>SUM(K6:K88)</f>
        <v>0</v>
      </c>
      <c r="AK8" s="80">
        <f>L71+L80</f>
        <v>0</v>
      </c>
      <c r="AL8" s="80">
        <f>L7+L31+L32+L34+L35+L43+L44+L54+L55+L75</f>
        <v>0</v>
      </c>
      <c r="AM8" s="16">
        <f>L72</f>
        <v>0</v>
      </c>
      <c r="AN8" s="16">
        <f>SUM(L9:L16) + SUM(L18:L29)</f>
        <v>0</v>
      </c>
      <c r="AO8" s="16">
        <f>SUM(L36:L38)+SUM(L40:L42)+SUM(L45:L53)+SUM(L56:L58)+L61+SUM(L63:L69)</f>
        <v>0</v>
      </c>
      <c r="AP8" s="100">
        <f>L6+L73+L81+L82+L41+L83+L84</f>
        <v>0</v>
      </c>
      <c r="AQ8" s="80">
        <f t="shared" si="0"/>
        <v>0</v>
      </c>
    </row>
    <row r="9" spans="1:43" x14ac:dyDescent="0.3">
      <c r="A9" s="180"/>
      <c r="B9" s="34" t="s">
        <v>51</v>
      </c>
      <c r="C9" s="3" t="s">
        <v>42</v>
      </c>
      <c r="D9" s="3" t="s">
        <v>42</v>
      </c>
      <c r="E9" s="116">
        <v>220025145515</v>
      </c>
      <c r="F9" s="4">
        <v>27957362</v>
      </c>
      <c r="G9" s="13"/>
      <c r="H9" s="14"/>
      <c r="I9" s="81"/>
      <c r="J9" s="81"/>
      <c r="K9" s="13"/>
      <c r="L9" s="14"/>
      <c r="M9" s="10"/>
      <c r="N9" s="16"/>
      <c r="O9" s="13"/>
      <c r="P9" s="14"/>
      <c r="Q9" s="10"/>
      <c r="R9" s="19"/>
      <c r="S9" s="13"/>
      <c r="T9" s="14"/>
      <c r="U9" s="81"/>
      <c r="V9" s="81"/>
      <c r="W9" s="13"/>
      <c r="X9" s="14"/>
      <c r="Y9" s="10"/>
      <c r="Z9" s="16"/>
      <c r="AA9" s="13"/>
      <c r="AB9" s="14"/>
      <c r="AC9" s="10"/>
      <c r="AD9" s="19"/>
      <c r="AF9" s="180"/>
      <c r="AH9" s="25" t="s">
        <v>52</v>
      </c>
      <c r="AI9" s="16">
        <f>SUM(N6:N88)</f>
        <v>0</v>
      </c>
      <c r="AJ9" s="32">
        <f>SUM(M6:M88)</f>
        <v>0</v>
      </c>
      <c r="AK9" s="80">
        <f>N71+N80</f>
        <v>0</v>
      </c>
      <c r="AL9" s="80">
        <f>N7+N31+N32+N34+N35+N43+N44+N54+N55+N75</f>
        <v>0</v>
      </c>
      <c r="AM9" s="16">
        <f>N72</f>
        <v>0</v>
      </c>
      <c r="AN9" s="16">
        <f>SUM(N9:N16) + SUM(N18:N29)</f>
        <v>0</v>
      </c>
      <c r="AO9" s="16">
        <f>SUM(N36:N38)+SUM(N40:N42)+SUM(N45:N53)+SUM(N56:N58)+N61+SUM(N63:N69)</f>
        <v>0</v>
      </c>
      <c r="AP9" s="100" t="e">
        <f>N6+N73+N81+N82+#REF!+N83+N84</f>
        <v>#REF!</v>
      </c>
      <c r="AQ9" s="80">
        <f t="shared" si="0"/>
        <v>0</v>
      </c>
    </row>
    <row r="10" spans="1:43" x14ac:dyDescent="0.3">
      <c r="A10" s="180"/>
      <c r="B10" s="34" t="s">
        <v>53</v>
      </c>
      <c r="C10" s="3" t="s">
        <v>42</v>
      </c>
      <c r="D10" s="3" t="s">
        <v>42</v>
      </c>
      <c r="E10" s="116">
        <v>220025145522</v>
      </c>
      <c r="F10" s="72">
        <v>27817626</v>
      </c>
      <c r="G10" s="13"/>
      <c r="H10" s="14"/>
      <c r="I10" s="81"/>
      <c r="J10" s="81"/>
      <c r="K10" s="13"/>
      <c r="L10" s="14"/>
      <c r="M10" s="10"/>
      <c r="N10" s="16"/>
      <c r="O10" s="13"/>
      <c r="P10" s="14"/>
      <c r="Q10" s="10"/>
      <c r="R10" s="19"/>
      <c r="S10" s="13"/>
      <c r="T10" s="14"/>
      <c r="U10" s="81"/>
      <c r="V10" s="81"/>
      <c r="W10" s="13"/>
      <c r="X10" s="14"/>
      <c r="Y10" s="10"/>
      <c r="Z10" s="16"/>
      <c r="AA10" s="13"/>
      <c r="AB10" s="14"/>
      <c r="AC10" s="10"/>
      <c r="AD10" s="19"/>
      <c r="AF10" s="180"/>
      <c r="AH10" s="25" t="s">
        <v>54</v>
      </c>
      <c r="AI10" s="16">
        <f>SUM(P6:P88)</f>
        <v>0</v>
      </c>
      <c r="AJ10" s="32">
        <f>SUM(O6:O88)</f>
        <v>0</v>
      </c>
      <c r="AK10" s="80">
        <f>P71+P80</f>
        <v>0</v>
      </c>
      <c r="AL10" s="80">
        <f>P7+P31+P32+P34+P35+P43+P44+P54+P55+P75</f>
        <v>0</v>
      </c>
      <c r="AM10" s="16">
        <f>P72</f>
        <v>0</v>
      </c>
      <c r="AN10" s="16">
        <f>SUM(P9:P16) + SUM(P18:P29)</f>
        <v>0</v>
      </c>
      <c r="AO10" s="16">
        <f>SUM(P36:P38)+SUM(P40:P42)+SUM(P45:P53)+SUM(P56:P58)+P61+SUM(P63:P69)</f>
        <v>0</v>
      </c>
      <c r="AP10" s="100" t="e">
        <f>P6+P73+P81+P82+#REF!+P83+P84</f>
        <v>#REF!</v>
      </c>
      <c r="AQ10" s="80">
        <f t="shared" si="0"/>
        <v>0</v>
      </c>
    </row>
    <row r="11" spans="1:43" x14ac:dyDescent="0.3">
      <c r="A11" s="180"/>
      <c r="B11" s="34" t="s">
        <v>55</v>
      </c>
      <c r="C11" s="3" t="s">
        <v>42</v>
      </c>
      <c r="D11" s="3" t="s">
        <v>42</v>
      </c>
      <c r="E11" s="116">
        <v>220025145546</v>
      </c>
      <c r="F11" s="4">
        <v>27817622</v>
      </c>
      <c r="G11" s="13"/>
      <c r="H11" s="14"/>
      <c r="I11" s="82"/>
      <c r="J11" s="81"/>
      <c r="K11" s="13"/>
      <c r="L11" s="14"/>
      <c r="M11" s="10"/>
      <c r="N11" s="16"/>
      <c r="O11" s="13"/>
      <c r="P11" s="14"/>
      <c r="Q11" s="10"/>
      <c r="R11" s="19"/>
      <c r="S11" s="13"/>
      <c r="T11" s="14"/>
      <c r="U11" s="82"/>
      <c r="V11" s="81"/>
      <c r="W11" s="13"/>
      <c r="X11" s="14"/>
      <c r="Y11" s="10"/>
      <c r="Z11" s="16"/>
      <c r="AA11" s="13"/>
      <c r="AB11" s="14"/>
      <c r="AC11" s="10"/>
      <c r="AD11" s="19"/>
      <c r="AF11" s="180"/>
      <c r="AH11" s="25" t="s">
        <v>56</v>
      </c>
      <c r="AI11" s="16">
        <f>SUM(R6:R88)</f>
        <v>0</v>
      </c>
      <c r="AJ11" s="32">
        <f>SUM(Q6:Q88)</f>
        <v>0</v>
      </c>
      <c r="AK11" s="80">
        <f>R71+R80</f>
        <v>0</v>
      </c>
      <c r="AL11" s="80">
        <f>R7+R31+R32+R34+R35+R43+R44+R54+R55+R75</f>
        <v>0</v>
      </c>
      <c r="AM11" s="16">
        <f>R72</f>
        <v>0</v>
      </c>
      <c r="AN11" s="16">
        <f>SUM(R9:R16) + SUM(R18:R29)</f>
        <v>0</v>
      </c>
      <c r="AO11" s="16">
        <f>SUM(R36:R38)+SUM(R40:R42)+SUM(R45:R53)+SUM(R56:R58)+R61+SUM(R63:R69)</f>
        <v>0</v>
      </c>
      <c r="AP11" s="100" t="e">
        <f>R6+R73+R81+R82+#REF!+R83+R84</f>
        <v>#REF!</v>
      </c>
      <c r="AQ11" s="80">
        <f t="shared" si="0"/>
        <v>0</v>
      </c>
    </row>
    <row r="12" spans="1:43" x14ac:dyDescent="0.3">
      <c r="A12" s="180"/>
      <c r="B12" s="34" t="s">
        <v>57</v>
      </c>
      <c r="C12" s="3" t="s">
        <v>42</v>
      </c>
      <c r="D12" s="3" t="s">
        <v>42</v>
      </c>
      <c r="E12" s="116">
        <v>220025145560</v>
      </c>
      <c r="F12" s="4">
        <v>27817660</v>
      </c>
      <c r="G12" s="13"/>
      <c r="H12" s="14"/>
      <c r="I12" s="82"/>
      <c r="J12" s="81"/>
      <c r="K12" s="13"/>
      <c r="L12" s="14"/>
      <c r="M12" s="10"/>
      <c r="N12" s="16"/>
      <c r="O12" s="13"/>
      <c r="P12" s="14"/>
      <c r="Q12" s="10"/>
      <c r="R12" s="19"/>
      <c r="S12" s="13"/>
      <c r="T12" s="14"/>
      <c r="U12" s="82"/>
      <c r="V12" s="81"/>
      <c r="W12" s="13"/>
      <c r="X12" s="14"/>
      <c r="Y12" s="10"/>
      <c r="Z12" s="16"/>
      <c r="AA12" s="13"/>
      <c r="AB12" s="14"/>
      <c r="AC12" s="10"/>
      <c r="AD12" s="19"/>
      <c r="AF12" s="180"/>
      <c r="AH12" s="25" t="s">
        <v>58</v>
      </c>
      <c r="AI12" s="16">
        <f>SUM(T6:T88)</f>
        <v>0</v>
      </c>
      <c r="AJ12" s="30">
        <f>SUM(S6:S88)</f>
        <v>0</v>
      </c>
      <c r="AK12" s="80">
        <f>T71+T80</f>
        <v>0</v>
      </c>
      <c r="AL12" s="80">
        <f>T7+T31+T32+T34+T35+T43+T44+T54+T55+T75</f>
        <v>0</v>
      </c>
      <c r="AM12" s="16">
        <f>T72</f>
        <v>0</v>
      </c>
      <c r="AN12" s="16">
        <f>SUM(T9:T16) + SUM(T18:T29)</f>
        <v>0</v>
      </c>
      <c r="AO12" s="16">
        <f>SUM(T36:T38)+SUM(T40:T42)+SUM(T45:T53)+SUM(T56:T58)+T61+SUM(T63:T69)</f>
        <v>0</v>
      </c>
      <c r="AP12" s="100" t="e">
        <f>T6+T73+T81+T82+#REF!+T83+T84</f>
        <v>#REF!</v>
      </c>
      <c r="AQ12" s="80">
        <f t="shared" si="0"/>
        <v>0</v>
      </c>
    </row>
    <row r="13" spans="1:43" x14ac:dyDescent="0.3">
      <c r="A13" s="180"/>
      <c r="B13" s="34" t="s">
        <v>59</v>
      </c>
      <c r="C13" s="3" t="s">
        <v>42</v>
      </c>
      <c r="D13" s="3" t="s">
        <v>42</v>
      </c>
      <c r="E13" s="116">
        <v>220025145577</v>
      </c>
      <c r="F13" s="4">
        <v>27817658</v>
      </c>
      <c r="G13" s="13"/>
      <c r="H13" s="14"/>
      <c r="I13" s="81"/>
      <c r="J13" s="81"/>
      <c r="K13" s="13"/>
      <c r="L13" s="14"/>
      <c r="M13" s="10"/>
      <c r="N13" s="16"/>
      <c r="O13" s="13"/>
      <c r="P13" s="14"/>
      <c r="Q13" s="10"/>
      <c r="R13" s="19"/>
      <c r="S13" s="13"/>
      <c r="T13" s="14"/>
      <c r="U13" s="81"/>
      <c r="V13" s="81"/>
      <c r="W13" s="13"/>
      <c r="X13" s="14"/>
      <c r="Y13" s="10"/>
      <c r="Z13" s="16"/>
      <c r="AA13" s="13"/>
      <c r="AB13" s="14"/>
      <c r="AC13" s="10"/>
      <c r="AD13" s="19"/>
      <c r="AF13" s="180"/>
      <c r="AH13" s="25" t="s">
        <v>60</v>
      </c>
      <c r="AI13" s="16">
        <f>SUM(V6:V88)</f>
        <v>0</v>
      </c>
      <c r="AJ13" s="30">
        <f>SUM(U6:U88)</f>
        <v>0</v>
      </c>
      <c r="AK13" s="3">
        <f>V71+V80</f>
        <v>0</v>
      </c>
      <c r="AL13" s="3">
        <f>V7+V31+V32+V34+V35+V43+V44+V54+V55+V75</f>
        <v>0</v>
      </c>
      <c r="AM13" s="3">
        <f>V72</f>
        <v>0</v>
      </c>
      <c r="AN13" s="3">
        <f>SUM(V9:V16) + SUM(V18:V29)</f>
        <v>0</v>
      </c>
      <c r="AO13" s="3">
        <f>SUM(V36:V38)+SUM(V40:V42)+SUM(V45:V53)+SUM(V56:V58)+V61+SUM(V63:V69)</f>
        <v>0</v>
      </c>
      <c r="AP13" s="77" t="e">
        <f>V6+V73+V81+V82+#REF!+V83+V84</f>
        <v>#REF!</v>
      </c>
      <c r="AQ13" s="80">
        <f t="shared" si="0"/>
        <v>0</v>
      </c>
    </row>
    <row r="14" spans="1:43" x14ac:dyDescent="0.3">
      <c r="A14" s="180"/>
      <c r="B14" s="34" t="s">
        <v>61</v>
      </c>
      <c r="C14" s="3" t="s">
        <v>42</v>
      </c>
      <c r="D14" s="3" t="s">
        <v>42</v>
      </c>
      <c r="E14" s="116">
        <v>220012670381</v>
      </c>
      <c r="F14" s="4">
        <v>27318518</v>
      </c>
      <c r="G14" s="13"/>
      <c r="H14" s="14"/>
      <c r="I14" s="81"/>
      <c r="J14" s="81"/>
      <c r="K14" s="13"/>
      <c r="L14" s="14"/>
      <c r="M14" s="10"/>
      <c r="N14" s="16"/>
      <c r="O14" s="13"/>
      <c r="P14" s="14"/>
      <c r="Q14" s="10"/>
      <c r="R14" s="19"/>
      <c r="S14" s="13"/>
      <c r="T14" s="14"/>
      <c r="U14" s="81"/>
      <c r="V14" s="81"/>
      <c r="W14" s="13"/>
      <c r="X14" s="14"/>
      <c r="Y14" s="10"/>
      <c r="Z14" s="16"/>
      <c r="AA14" s="13"/>
      <c r="AB14" s="14"/>
      <c r="AC14" s="10"/>
      <c r="AD14" s="19"/>
      <c r="AF14" s="180"/>
      <c r="AH14" s="25" t="s">
        <v>62</v>
      </c>
      <c r="AI14" s="16">
        <f>SUM(X6:X88)</f>
        <v>0</v>
      </c>
      <c r="AJ14" s="30">
        <f>SUM(W6:W88)</f>
        <v>0</v>
      </c>
      <c r="AK14" s="80" t="e">
        <f>R74+#REF!</f>
        <v>#REF!</v>
      </c>
      <c r="AL14" s="16">
        <f>X7+X31+X32+X34+X35+X43+X44+X54+X55+X75</f>
        <v>0</v>
      </c>
      <c r="AM14" s="16">
        <f>X71</f>
        <v>0</v>
      </c>
      <c r="AN14" s="16">
        <f>SUM(X9:X16) + SUM(X18:X29)</f>
        <v>0</v>
      </c>
      <c r="AO14" s="16">
        <f>SUM(X36:X38)+SUM(X40:X42)+SUM(X45:X53)+SUM(X56:X58)+X61+SUM(X63:X69)</f>
        <v>0</v>
      </c>
      <c r="AP14" s="100" t="e">
        <f>X6+X73+X81+X82+#REF!+X83+X84</f>
        <v>#REF!</v>
      </c>
    </row>
    <row r="15" spans="1:43" x14ac:dyDescent="0.3">
      <c r="A15" s="180"/>
      <c r="B15" s="34" t="s">
        <v>63</v>
      </c>
      <c r="C15" s="3" t="s">
        <v>42</v>
      </c>
      <c r="D15" s="3" t="s">
        <v>42</v>
      </c>
      <c r="E15" s="116">
        <v>210005879954</v>
      </c>
      <c r="F15" s="4">
        <v>27318805</v>
      </c>
      <c r="G15" s="13"/>
      <c r="H15" s="14"/>
      <c r="I15" s="81"/>
      <c r="J15" s="81"/>
      <c r="K15" s="13"/>
      <c r="L15" s="14"/>
      <c r="M15" s="10"/>
      <c r="N15" s="16"/>
      <c r="O15" s="13"/>
      <c r="P15" s="14"/>
      <c r="Q15" s="10"/>
      <c r="R15" s="19"/>
      <c r="S15" s="13"/>
      <c r="T15" s="14"/>
      <c r="U15" s="81"/>
      <c r="V15" s="81"/>
      <c r="W15" s="13"/>
      <c r="X15" s="14"/>
      <c r="Y15" s="10"/>
      <c r="Z15" s="16"/>
      <c r="AA15" s="13"/>
      <c r="AB15" s="14"/>
      <c r="AC15" s="10"/>
      <c r="AD15" s="19"/>
      <c r="AF15" s="180"/>
      <c r="AH15" s="25" t="s">
        <v>64</v>
      </c>
      <c r="AI15" s="16">
        <f>SUM(Z6:Z88)</f>
        <v>0</v>
      </c>
      <c r="AJ15" s="30">
        <f>SUM(Y6:Y88)</f>
        <v>0</v>
      </c>
      <c r="AK15" s="16">
        <f>Z71+Z80</f>
        <v>0</v>
      </c>
      <c r="AL15" s="16">
        <f>Z7+Z31+Z32+Z34+Z35+Z43+Z44+Z54+Z55+Z75</f>
        <v>0</v>
      </c>
      <c r="AM15" s="16">
        <f>Z72</f>
        <v>0</v>
      </c>
      <c r="AN15" s="16">
        <f>SUM(Z9:Z16) + SUM(Z18:Z29)</f>
        <v>0</v>
      </c>
      <c r="AO15" s="16">
        <f>SUM(Z36:Z38)+SUM(Z40:Z42)+SUM(Z45:Z53)+SUM(Z56:Z58)+Z61+SUM(Z63:Z69)</f>
        <v>0</v>
      </c>
      <c r="AP15" s="100" t="e">
        <f>Z6+Z73+Z81+Z82+#REF!+Z83+Z84</f>
        <v>#REF!</v>
      </c>
    </row>
    <row r="16" spans="1:43" x14ac:dyDescent="0.3">
      <c r="A16" s="180"/>
      <c r="B16" s="34" t="s">
        <v>65</v>
      </c>
      <c r="C16" s="3" t="s">
        <v>42</v>
      </c>
      <c r="D16" s="3" t="s">
        <v>42</v>
      </c>
      <c r="E16" s="116">
        <v>210005935663</v>
      </c>
      <c r="F16" s="4">
        <v>27654467</v>
      </c>
      <c r="G16" s="13"/>
      <c r="H16" s="14"/>
      <c r="I16" s="81"/>
      <c r="J16" s="81"/>
      <c r="K16" s="13"/>
      <c r="L16" s="14"/>
      <c r="M16" s="10"/>
      <c r="N16" s="16"/>
      <c r="O16" s="13"/>
      <c r="P16" s="14"/>
      <c r="Q16" s="10"/>
      <c r="R16" s="19"/>
      <c r="S16" s="13"/>
      <c r="T16" s="14"/>
      <c r="U16" s="81"/>
      <c r="V16" s="81"/>
      <c r="W16" s="13"/>
      <c r="X16" s="14"/>
      <c r="Y16" s="10"/>
      <c r="Z16" s="16"/>
      <c r="AA16" s="13"/>
      <c r="AB16" s="14"/>
      <c r="AC16" s="10"/>
      <c r="AD16" s="19"/>
      <c r="AF16" s="180"/>
      <c r="AH16" s="25" t="s">
        <v>66</v>
      </c>
      <c r="AI16" s="16">
        <f>SUM(AB6:AB88)</f>
        <v>0</v>
      </c>
      <c r="AJ16" s="30">
        <f>SUM(AA6:AA88)</f>
        <v>0</v>
      </c>
      <c r="AK16" s="16">
        <f>AB71+AB80</f>
        <v>0</v>
      </c>
      <c r="AL16" s="16">
        <f>AB7+AB31+AB32+AB34+AB35+AB43+AB44+AB54+AB55+AB75</f>
        <v>0</v>
      </c>
      <c r="AM16" s="16">
        <f>AB72</f>
        <v>0</v>
      </c>
      <c r="AN16" s="16">
        <f>SUM(AB9:AB16) + SUM(AB18:AB29)</f>
        <v>0</v>
      </c>
      <c r="AO16" s="16">
        <f>SUM(AB36:AB38)+SUM(AB40:AB42)+SUM(AB45:AB53)+SUM(AB56:AB58)+AB61+SUM(AB63:AB69)</f>
        <v>0</v>
      </c>
      <c r="AP16" s="100" t="e">
        <f>AB6+AB73+AB81+AB82+#REF!+AB83+AB84</f>
        <v>#REF!</v>
      </c>
    </row>
    <row r="17" spans="1:43" x14ac:dyDescent="0.3">
      <c r="A17" s="180"/>
      <c r="B17" s="34" t="s">
        <v>67</v>
      </c>
      <c r="C17" s="3" t="s">
        <v>42</v>
      </c>
      <c r="D17" s="3" t="s">
        <v>42</v>
      </c>
      <c r="E17" s="116">
        <v>220012670350</v>
      </c>
      <c r="F17" s="107">
        <v>27817663</v>
      </c>
      <c r="G17" s="13"/>
      <c r="H17" s="14"/>
      <c r="I17" s="81"/>
      <c r="J17" s="81"/>
      <c r="K17" s="13"/>
      <c r="L17" s="14"/>
      <c r="M17" s="10"/>
      <c r="N17" s="16"/>
      <c r="O17" s="13"/>
      <c r="P17" s="14"/>
      <c r="Q17" s="10"/>
      <c r="R17" s="19"/>
      <c r="S17" s="13"/>
      <c r="T17" s="14"/>
      <c r="U17" s="81"/>
      <c r="V17" s="81"/>
      <c r="W17" s="13"/>
      <c r="X17" s="14"/>
      <c r="Y17" s="10"/>
      <c r="Z17" s="16"/>
      <c r="AA17" s="13"/>
      <c r="AB17" s="14"/>
      <c r="AC17" s="10"/>
      <c r="AD17" s="19"/>
      <c r="AF17" s="180"/>
      <c r="AH17" s="26" t="s">
        <v>68</v>
      </c>
      <c r="AI17" s="17">
        <f>SUM(AD6:AD88)</f>
        <v>0</v>
      </c>
      <c r="AJ17" s="33">
        <f>SUM(AC6:AC88)</f>
        <v>0</v>
      </c>
      <c r="AK17" s="17">
        <f>AD71+AD80</f>
        <v>0</v>
      </c>
      <c r="AL17" s="17">
        <f>AD7+AD31+AD32+AD34+AD35+AD43+AD44+AD54+AD55+AD75</f>
        <v>0</v>
      </c>
      <c r="AM17" s="17">
        <f>AD72</f>
        <v>0</v>
      </c>
      <c r="AN17" s="16">
        <f>SUM(AD9:AD16) + SUM(AD18:AD29)</f>
        <v>0</v>
      </c>
      <c r="AO17" s="16">
        <f>SUM(AD36:AD38)+SUM(AD40:AD42)+SUM(AD45:AD53)+SUM(AD56:AD58)+AD61+SUM(AD63:AD69)</f>
        <v>0</v>
      </c>
      <c r="AP17" s="101" t="e">
        <f>AD6+AD73+AD81+AD82+#REF!+AD83+AD84</f>
        <v>#REF!</v>
      </c>
    </row>
    <row r="18" spans="1:43" x14ac:dyDescent="0.3">
      <c r="A18" s="180"/>
      <c r="B18" s="34" t="s">
        <v>69</v>
      </c>
      <c r="C18" s="3" t="s">
        <v>42</v>
      </c>
      <c r="D18" s="3" t="s">
        <v>42</v>
      </c>
      <c r="E18" s="116">
        <v>220012670367</v>
      </c>
      <c r="F18" s="4">
        <v>27318554</v>
      </c>
      <c r="G18" s="13"/>
      <c r="H18" s="14"/>
      <c r="I18" s="82"/>
      <c r="J18" s="81"/>
      <c r="K18" s="13"/>
      <c r="L18" s="14"/>
      <c r="M18" s="10"/>
      <c r="N18" s="16"/>
      <c r="O18" s="13"/>
      <c r="P18" s="14"/>
      <c r="Q18" s="10"/>
      <c r="R18" s="19"/>
      <c r="S18" s="13"/>
      <c r="T18" s="14"/>
      <c r="U18" s="82"/>
      <c r="V18" s="81"/>
      <c r="W18" s="13"/>
      <c r="X18" s="14"/>
      <c r="Y18" s="10"/>
      <c r="Z18" s="16"/>
      <c r="AA18" s="13"/>
      <c r="AB18" s="14"/>
      <c r="AC18" s="10"/>
      <c r="AD18" s="19"/>
      <c r="AF18" s="180"/>
    </row>
    <row r="19" spans="1:43" x14ac:dyDescent="0.3">
      <c r="A19" s="180"/>
      <c r="B19" s="34" t="s">
        <v>70</v>
      </c>
      <c r="C19" s="3" t="s">
        <v>42</v>
      </c>
      <c r="D19" s="3" t="s">
        <v>42</v>
      </c>
      <c r="E19" s="116">
        <v>220012670374</v>
      </c>
      <c r="F19" s="4">
        <v>27817661</v>
      </c>
      <c r="G19" s="13"/>
      <c r="H19" s="14"/>
      <c r="I19" s="82"/>
      <c r="J19" s="81"/>
      <c r="K19" s="13"/>
      <c r="L19" s="14"/>
      <c r="M19" s="10"/>
      <c r="N19" s="16"/>
      <c r="O19" s="13"/>
      <c r="P19" s="14"/>
      <c r="Q19" s="10"/>
      <c r="R19" s="19"/>
      <c r="S19" s="13"/>
      <c r="T19" s="14"/>
      <c r="U19" s="82"/>
      <c r="V19" s="81"/>
      <c r="W19" s="13"/>
      <c r="X19" s="14"/>
      <c r="Y19" s="10"/>
      <c r="Z19" s="16"/>
      <c r="AA19" s="13"/>
      <c r="AB19" s="14"/>
      <c r="AC19" s="10"/>
      <c r="AD19" s="19"/>
      <c r="AF19" s="180"/>
    </row>
    <row r="20" spans="1:43" x14ac:dyDescent="0.3">
      <c r="A20" s="180"/>
      <c r="B20" s="34" t="s">
        <v>71</v>
      </c>
      <c r="C20" s="3" t="s">
        <v>42</v>
      </c>
      <c r="D20" s="3" t="s">
        <v>42</v>
      </c>
      <c r="E20" s="117">
        <v>220012670343</v>
      </c>
      <c r="F20" s="4">
        <v>27318553</v>
      </c>
      <c r="G20" s="13"/>
      <c r="H20" s="14"/>
      <c r="I20" s="82"/>
      <c r="J20" s="81"/>
      <c r="K20" s="13"/>
      <c r="L20" s="14"/>
      <c r="M20" s="10"/>
      <c r="N20" s="16"/>
      <c r="O20" s="13"/>
      <c r="P20" s="14"/>
      <c r="Q20" s="10"/>
      <c r="R20" s="19"/>
      <c r="S20" s="13"/>
      <c r="T20" s="14"/>
      <c r="U20" s="82"/>
      <c r="V20" s="81"/>
      <c r="W20" s="13"/>
      <c r="X20" s="14"/>
      <c r="Y20" s="10"/>
      <c r="Z20" s="16"/>
      <c r="AA20" s="13"/>
      <c r="AB20" s="14"/>
      <c r="AC20" s="10"/>
      <c r="AD20" s="19"/>
      <c r="AF20" s="180"/>
      <c r="AK20" s="78"/>
      <c r="AL20" s="16"/>
      <c r="AM20" s="78"/>
      <c r="AN20" s="78"/>
      <c r="AO20" s="79"/>
      <c r="AP20" s="78"/>
      <c r="AQ20" s="78"/>
    </row>
    <row r="21" spans="1:43" x14ac:dyDescent="0.3">
      <c r="A21" s="180"/>
      <c r="B21" s="34" t="s">
        <v>72</v>
      </c>
      <c r="C21" s="3" t="s">
        <v>42</v>
      </c>
      <c r="D21" s="3" t="s">
        <v>42</v>
      </c>
      <c r="E21" s="116">
        <v>220012670398</v>
      </c>
      <c r="F21" s="4">
        <v>27817662</v>
      </c>
      <c r="G21" s="13"/>
      <c r="H21" s="14"/>
      <c r="I21" s="81"/>
      <c r="J21" s="81"/>
      <c r="K21" s="13"/>
      <c r="L21" s="14"/>
      <c r="M21" s="10"/>
      <c r="N21" s="16"/>
      <c r="O21" s="13"/>
      <c r="P21" s="14"/>
      <c r="Q21" s="10"/>
      <c r="R21" s="19"/>
      <c r="S21" s="13"/>
      <c r="T21" s="14"/>
      <c r="U21" s="81"/>
      <c r="V21" s="81"/>
      <c r="W21" s="13"/>
      <c r="X21" s="14"/>
      <c r="Y21" s="10"/>
      <c r="Z21" s="16"/>
      <c r="AA21" s="13"/>
      <c r="AB21" s="14"/>
      <c r="AC21" s="10"/>
      <c r="AD21" s="19"/>
      <c r="AF21" s="180"/>
    </row>
    <row r="22" spans="1:43" x14ac:dyDescent="0.3">
      <c r="A22" s="180"/>
      <c r="B22" s="34" t="s">
        <v>73</v>
      </c>
      <c r="C22" s="3" t="s">
        <v>42</v>
      </c>
      <c r="D22" s="3" t="s">
        <v>42</v>
      </c>
      <c r="E22" s="116">
        <v>220012670404</v>
      </c>
      <c r="F22" s="4">
        <v>64332341</v>
      </c>
      <c r="G22" s="13"/>
      <c r="H22" s="14"/>
      <c r="I22" s="82"/>
      <c r="J22" s="81"/>
      <c r="K22" s="13"/>
      <c r="L22" s="14"/>
      <c r="M22" s="10"/>
      <c r="N22" s="16"/>
      <c r="O22" s="13"/>
      <c r="P22" s="14"/>
      <c r="Q22" s="10"/>
      <c r="R22" s="19"/>
      <c r="S22" s="13"/>
      <c r="T22" s="14"/>
      <c r="U22" s="82"/>
      <c r="V22" s="81"/>
      <c r="W22" s="13"/>
      <c r="X22" s="14"/>
      <c r="Y22" s="10"/>
      <c r="Z22" s="16"/>
      <c r="AA22" s="13"/>
      <c r="AB22" s="14"/>
      <c r="AC22" s="10"/>
      <c r="AD22" s="19"/>
      <c r="AF22" s="180"/>
    </row>
    <row r="23" spans="1:43" x14ac:dyDescent="0.3">
      <c r="A23" s="180"/>
      <c r="B23" s="34" t="s">
        <v>74</v>
      </c>
      <c r="C23" s="3" t="s">
        <v>42</v>
      </c>
      <c r="D23" s="3" t="s">
        <v>42</v>
      </c>
      <c r="E23" s="116">
        <v>220025145591</v>
      </c>
      <c r="F23" s="4">
        <v>27817627</v>
      </c>
      <c r="G23" s="13"/>
      <c r="H23" s="14"/>
      <c r="I23" s="81"/>
      <c r="J23" s="81"/>
      <c r="K23" s="13"/>
      <c r="L23" s="14"/>
      <c r="M23" s="10"/>
      <c r="N23" s="16"/>
      <c r="O23" s="13"/>
      <c r="P23" s="14"/>
      <c r="Q23" s="10"/>
      <c r="R23" s="19"/>
      <c r="S23" s="13"/>
      <c r="T23" s="14"/>
      <c r="U23" s="81"/>
      <c r="V23" s="81"/>
      <c r="W23" s="13"/>
      <c r="X23" s="14"/>
      <c r="Y23" s="10"/>
      <c r="Z23" s="16"/>
      <c r="AA23" s="13"/>
      <c r="AB23" s="14"/>
      <c r="AC23" s="10"/>
      <c r="AD23" s="19"/>
      <c r="AF23" s="180"/>
    </row>
    <row r="24" spans="1:43" x14ac:dyDescent="0.3">
      <c r="A24" s="180"/>
      <c r="B24" s="34" t="s">
        <v>75</v>
      </c>
      <c r="C24" s="3" t="s">
        <v>42</v>
      </c>
      <c r="D24" s="3" t="s">
        <v>42</v>
      </c>
      <c r="E24" s="117">
        <v>220012670428</v>
      </c>
      <c r="F24" s="4">
        <v>27318561</v>
      </c>
      <c r="G24" s="13"/>
      <c r="H24" s="78"/>
      <c r="I24" s="82"/>
      <c r="J24" s="81"/>
      <c r="K24" s="13"/>
      <c r="L24" s="14"/>
      <c r="M24" s="10"/>
      <c r="N24" s="16"/>
      <c r="O24" s="13"/>
      <c r="P24" s="14"/>
      <c r="Q24" s="10"/>
      <c r="R24" s="19"/>
      <c r="S24" s="13"/>
      <c r="T24" s="78"/>
      <c r="U24" s="82"/>
      <c r="V24" s="81"/>
      <c r="W24" s="13"/>
      <c r="X24" s="14"/>
      <c r="Y24" s="10"/>
      <c r="Z24" s="16"/>
      <c r="AA24" s="13"/>
      <c r="AB24" s="14"/>
      <c r="AC24" s="10"/>
      <c r="AD24" s="19"/>
      <c r="AF24" s="180"/>
    </row>
    <row r="25" spans="1:43" x14ac:dyDescent="0.3">
      <c r="A25" s="180"/>
      <c r="B25" s="34" t="s">
        <v>76</v>
      </c>
      <c r="C25" s="3" t="s">
        <v>42</v>
      </c>
      <c r="D25" s="3" t="s">
        <v>42</v>
      </c>
      <c r="E25" s="116">
        <v>220012670435</v>
      </c>
      <c r="F25" s="4">
        <v>27817659</v>
      </c>
      <c r="G25" s="13"/>
      <c r="H25" s="14"/>
      <c r="I25" s="81"/>
      <c r="J25" s="81"/>
      <c r="K25" s="13"/>
      <c r="L25" s="14"/>
      <c r="M25" s="10"/>
      <c r="N25" s="16"/>
      <c r="O25" s="13"/>
      <c r="P25" s="14"/>
      <c r="Q25" s="10"/>
      <c r="R25" s="19"/>
      <c r="S25" s="13"/>
      <c r="T25" s="14"/>
      <c r="U25" s="81"/>
      <c r="V25" s="81"/>
      <c r="W25" s="13"/>
      <c r="X25" s="14"/>
      <c r="Y25" s="10"/>
      <c r="Z25" s="16"/>
      <c r="AA25" s="13"/>
      <c r="AB25" s="14"/>
      <c r="AC25" s="10"/>
      <c r="AD25" s="19"/>
      <c r="AF25" s="180"/>
    </row>
    <row r="26" spans="1:43" x14ac:dyDescent="0.3">
      <c r="A26" s="180"/>
      <c r="B26" s="34" t="s">
        <v>77</v>
      </c>
      <c r="C26" s="3" t="s">
        <v>78</v>
      </c>
      <c r="D26" s="3" t="s">
        <v>43</v>
      </c>
      <c r="E26" s="116">
        <v>210004256138</v>
      </c>
      <c r="F26" s="4">
        <v>64409714</v>
      </c>
      <c r="G26" s="13"/>
      <c r="H26" s="14"/>
      <c r="I26" s="81"/>
      <c r="J26" s="81"/>
      <c r="K26" s="13"/>
      <c r="L26" s="14"/>
      <c r="M26" s="10"/>
      <c r="N26" s="16"/>
      <c r="O26" s="13"/>
      <c r="P26" s="14"/>
      <c r="Q26" s="10"/>
      <c r="R26" s="19"/>
      <c r="S26" s="13"/>
      <c r="T26" s="14"/>
      <c r="U26" s="81"/>
      <c r="V26" s="81"/>
      <c r="W26" s="13"/>
      <c r="X26" s="14"/>
      <c r="Y26" s="10"/>
      <c r="Z26" s="16"/>
      <c r="AA26" s="13"/>
      <c r="AB26" s="14"/>
      <c r="AC26" s="10"/>
      <c r="AD26" s="19"/>
      <c r="AF26" s="180"/>
    </row>
    <row r="27" spans="1:43" x14ac:dyDescent="0.3">
      <c r="A27" s="180"/>
      <c r="B27" s="34" t="s">
        <v>79</v>
      </c>
      <c r="C27" s="3" t="s">
        <v>80</v>
      </c>
      <c r="D27" s="3" t="s">
        <v>43</v>
      </c>
      <c r="E27" s="116">
        <v>210004256213</v>
      </c>
      <c r="F27" s="4" t="s">
        <v>81</v>
      </c>
      <c r="G27" s="13"/>
      <c r="H27" s="14"/>
      <c r="I27" s="81"/>
      <c r="J27" s="81"/>
      <c r="K27" s="13"/>
      <c r="L27" s="14"/>
      <c r="M27" s="10"/>
      <c r="N27" s="16"/>
      <c r="O27" s="13"/>
      <c r="P27" s="14"/>
      <c r="Q27" s="10"/>
      <c r="R27" s="19"/>
      <c r="S27" s="13"/>
      <c r="T27" s="14"/>
      <c r="U27" s="81"/>
      <c r="V27" s="81"/>
      <c r="W27" s="13"/>
      <c r="X27" s="14"/>
      <c r="Y27" s="10"/>
      <c r="Z27" s="16"/>
      <c r="AA27" s="13"/>
      <c r="AB27" s="14"/>
      <c r="AC27" s="10"/>
      <c r="AD27" s="19"/>
      <c r="AF27" s="180"/>
    </row>
    <row r="28" spans="1:43" x14ac:dyDescent="0.3">
      <c r="A28" s="180"/>
      <c r="B28" s="34" t="s">
        <v>82</v>
      </c>
      <c r="C28" s="3" t="s">
        <v>83</v>
      </c>
      <c r="D28" s="3" t="s">
        <v>43</v>
      </c>
      <c r="E28" s="107">
        <v>210004256473</v>
      </c>
      <c r="F28" s="107" t="s">
        <v>84</v>
      </c>
      <c r="G28" s="13"/>
      <c r="H28" s="14"/>
      <c r="I28" s="82"/>
      <c r="J28" s="81"/>
      <c r="K28" s="13"/>
      <c r="L28" s="14"/>
      <c r="M28" s="10"/>
      <c r="N28" s="16"/>
      <c r="O28" s="13"/>
      <c r="P28" s="14"/>
      <c r="Q28" s="10"/>
      <c r="R28" s="19"/>
      <c r="S28" s="13"/>
      <c r="T28" s="14"/>
      <c r="U28" s="82"/>
      <c r="V28" s="81"/>
      <c r="W28" s="13"/>
      <c r="X28" s="14"/>
      <c r="Y28" s="10"/>
      <c r="Z28" s="16"/>
      <c r="AA28" s="13"/>
      <c r="AB28" s="14"/>
      <c r="AC28" s="10"/>
      <c r="AD28" s="19"/>
      <c r="AF28" s="180"/>
    </row>
    <row r="29" spans="1:43" x14ac:dyDescent="0.3">
      <c r="A29" s="180"/>
      <c r="B29" s="34" t="s">
        <v>85</v>
      </c>
      <c r="C29" s="3" t="s">
        <v>86</v>
      </c>
      <c r="D29" s="3" t="s">
        <v>43</v>
      </c>
      <c r="E29" s="116">
        <v>210004256589</v>
      </c>
      <c r="F29" s="4">
        <v>27817257</v>
      </c>
      <c r="G29" s="13"/>
      <c r="H29" s="14"/>
      <c r="I29" s="81"/>
      <c r="J29" s="81"/>
      <c r="K29" s="13"/>
      <c r="L29" s="14"/>
      <c r="M29" s="10"/>
      <c r="N29" s="16"/>
      <c r="O29" s="13"/>
      <c r="P29" s="14"/>
      <c r="Q29" s="10"/>
      <c r="R29" s="19"/>
      <c r="S29" s="13"/>
      <c r="T29" s="14"/>
      <c r="U29" s="81"/>
      <c r="V29" s="81"/>
      <c r="W29" s="13"/>
      <c r="X29" s="14"/>
      <c r="Y29" s="10"/>
      <c r="Z29" s="16"/>
      <c r="AA29" s="13"/>
      <c r="AB29" s="14"/>
      <c r="AC29" s="10"/>
      <c r="AD29" s="19"/>
      <c r="AF29" s="180"/>
    </row>
    <row r="30" spans="1:43" x14ac:dyDescent="0.3">
      <c r="A30" s="180"/>
      <c r="B30" s="34" t="s">
        <v>87</v>
      </c>
      <c r="C30" s="3" t="s">
        <v>88</v>
      </c>
      <c r="D30" s="3" t="s">
        <v>43</v>
      </c>
      <c r="E30" s="116">
        <v>210004256688</v>
      </c>
      <c r="F30" s="4">
        <v>64262432</v>
      </c>
      <c r="G30" s="13"/>
      <c r="H30" s="14"/>
      <c r="I30" s="81"/>
      <c r="J30" s="81"/>
      <c r="K30" s="13"/>
      <c r="L30" s="14"/>
      <c r="M30" s="10"/>
      <c r="N30" s="16"/>
      <c r="O30" s="13"/>
      <c r="P30" s="14"/>
      <c r="Q30" s="10"/>
      <c r="R30" s="19"/>
      <c r="S30" s="13"/>
      <c r="T30" s="14"/>
      <c r="U30" s="81"/>
      <c r="V30" s="81"/>
      <c r="W30" s="13"/>
      <c r="X30" s="14"/>
      <c r="Y30" s="10"/>
      <c r="Z30" s="16"/>
      <c r="AA30" s="13"/>
      <c r="AB30" s="14"/>
      <c r="AC30" s="10"/>
      <c r="AD30" s="19"/>
      <c r="AF30" s="180"/>
    </row>
    <row r="31" spans="1:43" x14ac:dyDescent="0.3">
      <c r="A31" s="180"/>
      <c r="B31" s="34" t="s">
        <v>89</v>
      </c>
      <c r="C31" s="3" t="s">
        <v>90</v>
      </c>
      <c r="D31" s="3" t="s">
        <v>43</v>
      </c>
      <c r="E31" s="116">
        <v>210004256848</v>
      </c>
      <c r="F31" s="4">
        <v>27817214</v>
      </c>
      <c r="G31" s="13"/>
      <c r="H31" s="14"/>
      <c r="I31" s="81"/>
      <c r="J31" s="81"/>
      <c r="K31" s="13"/>
      <c r="L31" s="14"/>
      <c r="M31" s="10"/>
      <c r="N31" s="16"/>
      <c r="O31" s="13"/>
      <c r="P31" s="14"/>
      <c r="Q31" s="10"/>
      <c r="R31" s="19"/>
      <c r="S31" s="13"/>
      <c r="T31" s="14"/>
      <c r="U31" s="81"/>
      <c r="V31" s="81"/>
      <c r="W31" s="13"/>
      <c r="X31" s="14"/>
      <c r="Y31" s="10"/>
      <c r="Z31" s="16"/>
      <c r="AA31" s="13"/>
      <c r="AB31" s="14"/>
      <c r="AC31" s="10"/>
      <c r="AD31" s="19"/>
      <c r="AF31" s="180"/>
    </row>
    <row r="32" spans="1:43" x14ac:dyDescent="0.3">
      <c r="A32" s="180"/>
      <c r="B32" s="34" t="s">
        <v>91</v>
      </c>
      <c r="C32" s="3" t="s">
        <v>92</v>
      </c>
      <c r="D32" s="3" t="s">
        <v>43</v>
      </c>
      <c r="E32" s="116">
        <v>210004256947</v>
      </c>
      <c r="F32" s="4">
        <v>64409621</v>
      </c>
      <c r="G32" s="13"/>
      <c r="H32" s="14"/>
      <c r="I32" s="81"/>
      <c r="J32" s="81"/>
      <c r="K32" s="13"/>
      <c r="L32" s="14"/>
      <c r="M32" s="10"/>
      <c r="N32" s="16"/>
      <c r="O32" s="13"/>
      <c r="P32" s="14"/>
      <c r="Q32" s="10"/>
      <c r="R32" s="19"/>
      <c r="S32" s="13"/>
      <c r="T32" s="14"/>
      <c r="U32" s="81"/>
      <c r="V32" s="81"/>
      <c r="W32" s="13"/>
      <c r="X32" s="14"/>
      <c r="Y32" s="10"/>
      <c r="Z32" s="16"/>
      <c r="AA32" s="13"/>
      <c r="AB32" s="14"/>
      <c r="AC32" s="10"/>
      <c r="AD32" s="19"/>
      <c r="AF32" s="180"/>
    </row>
    <row r="33" spans="1:32" x14ac:dyDescent="0.3">
      <c r="A33" s="180"/>
      <c r="B33" s="34" t="s">
        <v>93</v>
      </c>
      <c r="C33" s="3"/>
      <c r="D33" s="3" t="s">
        <v>43</v>
      </c>
      <c r="E33" s="107">
        <v>210008645211</v>
      </c>
      <c r="F33" s="72">
        <v>28085019</v>
      </c>
      <c r="G33" s="13"/>
      <c r="H33" s="14"/>
      <c r="I33" s="81"/>
      <c r="J33" s="81"/>
      <c r="K33" s="13"/>
      <c r="L33" s="14"/>
      <c r="M33" s="10"/>
      <c r="N33" s="16"/>
      <c r="O33" s="13"/>
      <c r="P33" s="14"/>
      <c r="Q33" s="10"/>
      <c r="R33" s="19"/>
      <c r="S33" s="13"/>
      <c r="T33" s="14"/>
      <c r="U33" s="81"/>
      <c r="V33" s="81"/>
      <c r="W33" s="13"/>
      <c r="X33" s="14"/>
      <c r="Y33" s="10"/>
      <c r="Z33" s="16"/>
      <c r="AA33" s="13"/>
      <c r="AB33" s="14"/>
      <c r="AC33" s="10"/>
      <c r="AD33" s="19"/>
      <c r="AF33" s="180"/>
    </row>
    <row r="34" spans="1:32" x14ac:dyDescent="0.3">
      <c r="A34" s="180"/>
      <c r="B34" s="34" t="s">
        <v>94</v>
      </c>
      <c r="C34" s="3" t="s">
        <v>95</v>
      </c>
      <c r="D34" s="3" t="s">
        <v>43</v>
      </c>
      <c r="E34" s="116">
        <v>210007568908</v>
      </c>
      <c r="F34" s="4">
        <v>27654657</v>
      </c>
      <c r="G34" s="13"/>
      <c r="H34" s="14"/>
      <c r="I34" s="13"/>
      <c r="J34" s="81"/>
      <c r="K34" s="13"/>
      <c r="L34" s="14"/>
      <c r="M34" s="10"/>
      <c r="N34" s="16"/>
      <c r="O34" s="13"/>
      <c r="P34" s="14"/>
      <c r="Q34" s="10"/>
      <c r="R34" s="19"/>
      <c r="S34" s="13"/>
      <c r="T34" s="14"/>
      <c r="U34" s="82"/>
      <c r="V34" s="81"/>
      <c r="W34" s="13"/>
      <c r="X34" s="14"/>
      <c r="Y34" s="10"/>
      <c r="Z34" s="16"/>
      <c r="AA34" s="13"/>
      <c r="AB34" s="14"/>
      <c r="AC34" s="10"/>
      <c r="AD34" s="19"/>
      <c r="AF34" s="180"/>
    </row>
    <row r="35" spans="1:32" x14ac:dyDescent="0.3">
      <c r="A35" s="180"/>
      <c r="B35" s="34" t="s">
        <v>96</v>
      </c>
      <c r="C35" s="3" t="s">
        <v>97</v>
      </c>
      <c r="D35" s="3" t="s">
        <v>43</v>
      </c>
      <c r="E35" s="116">
        <v>220023855632</v>
      </c>
      <c r="F35" s="4">
        <v>64262433</v>
      </c>
      <c r="G35" s="13"/>
      <c r="H35" s="14"/>
      <c r="I35" s="81"/>
      <c r="J35" s="81"/>
      <c r="K35" s="13"/>
      <c r="L35" s="14"/>
      <c r="M35" s="10"/>
      <c r="N35" s="16"/>
      <c r="O35" s="13"/>
      <c r="P35" s="14"/>
      <c r="Q35" s="10"/>
      <c r="R35" s="19"/>
      <c r="S35" s="13"/>
      <c r="T35" s="14"/>
      <c r="U35" s="81"/>
      <c r="V35" s="81"/>
      <c r="W35" s="13"/>
      <c r="X35" s="14"/>
      <c r="Y35" s="10"/>
      <c r="Z35" s="16"/>
      <c r="AA35" s="13"/>
      <c r="AB35" s="14"/>
      <c r="AC35" s="10"/>
      <c r="AD35" s="19"/>
      <c r="AF35" s="180"/>
    </row>
    <row r="36" spans="1:32" x14ac:dyDescent="0.3">
      <c r="A36" s="180"/>
      <c r="B36" s="34" t="s">
        <v>98</v>
      </c>
      <c r="C36" s="3" t="s">
        <v>99</v>
      </c>
      <c r="D36" s="3" t="s">
        <v>43</v>
      </c>
      <c r="E36" s="116">
        <v>210004257131</v>
      </c>
      <c r="F36" s="4" t="s">
        <v>100</v>
      </c>
      <c r="G36" s="13"/>
      <c r="H36" s="14"/>
      <c r="I36" s="82"/>
      <c r="J36" s="81"/>
      <c r="K36" s="13"/>
      <c r="L36" s="14"/>
      <c r="M36" s="10"/>
      <c r="N36" s="16"/>
      <c r="O36" s="13"/>
      <c r="P36" s="14"/>
      <c r="Q36" s="10"/>
      <c r="R36" s="19"/>
      <c r="S36" s="13"/>
      <c r="T36" s="14"/>
      <c r="U36" s="82"/>
      <c r="V36" s="81"/>
      <c r="W36" s="13"/>
      <c r="X36" s="14"/>
      <c r="Y36" s="10"/>
      <c r="Z36" s="16"/>
      <c r="AA36" s="13"/>
      <c r="AB36" s="14"/>
      <c r="AC36" s="10"/>
      <c r="AD36" s="19"/>
      <c r="AF36" s="180"/>
    </row>
    <row r="37" spans="1:32" x14ac:dyDescent="0.3">
      <c r="A37" s="180"/>
      <c r="B37" s="34" t="s">
        <v>101</v>
      </c>
      <c r="C37" s="3" t="s">
        <v>102</v>
      </c>
      <c r="D37" s="3" t="s">
        <v>43</v>
      </c>
      <c r="E37" s="116">
        <v>210004257223</v>
      </c>
      <c r="F37" s="4" t="s">
        <v>103</v>
      </c>
      <c r="G37" s="13"/>
      <c r="H37" s="14"/>
      <c r="I37" s="81"/>
      <c r="J37" s="81"/>
      <c r="K37" s="13"/>
      <c r="L37" s="14"/>
      <c r="M37" s="10"/>
      <c r="N37" s="16"/>
      <c r="O37" s="13"/>
      <c r="P37" s="14"/>
      <c r="Q37" s="10"/>
      <c r="R37" s="19"/>
      <c r="S37" s="13"/>
      <c r="T37" s="14"/>
      <c r="U37" s="81"/>
      <c r="V37" s="81"/>
      <c r="W37" s="13"/>
      <c r="X37" s="14"/>
      <c r="Y37" s="10"/>
      <c r="Z37" s="16"/>
      <c r="AA37" s="13"/>
      <c r="AB37" s="14"/>
      <c r="AC37" s="10"/>
      <c r="AD37" s="19"/>
      <c r="AF37" s="180"/>
    </row>
    <row r="38" spans="1:32" x14ac:dyDescent="0.3">
      <c r="A38" s="180"/>
      <c r="B38" s="34" t="s">
        <v>104</v>
      </c>
      <c r="C38" s="3" t="s">
        <v>105</v>
      </c>
      <c r="D38" s="3" t="s">
        <v>43</v>
      </c>
      <c r="E38" s="116">
        <v>210004257315</v>
      </c>
      <c r="F38" s="118">
        <v>27654288</v>
      </c>
      <c r="G38" s="13"/>
      <c r="H38" s="14"/>
      <c r="I38" s="81"/>
      <c r="J38" s="81"/>
      <c r="K38" s="13"/>
      <c r="L38" s="14"/>
      <c r="M38" s="10"/>
      <c r="N38" s="16"/>
      <c r="O38" s="13"/>
      <c r="P38" s="14"/>
      <c r="Q38" s="10"/>
      <c r="R38" s="19"/>
      <c r="S38" s="13"/>
      <c r="T38" s="14"/>
      <c r="U38" s="81"/>
      <c r="V38" s="81"/>
      <c r="W38" s="13"/>
      <c r="X38" s="14"/>
      <c r="Y38" s="10"/>
      <c r="Z38" s="16"/>
      <c r="AA38" s="13"/>
      <c r="AB38" s="14"/>
      <c r="AC38" s="10"/>
      <c r="AD38" s="19"/>
      <c r="AF38" s="180"/>
    </row>
    <row r="39" spans="1:32" x14ac:dyDescent="0.3">
      <c r="A39" s="180"/>
      <c r="B39" s="34" t="s">
        <v>106</v>
      </c>
      <c r="C39" s="3" t="s">
        <v>107</v>
      </c>
      <c r="D39" s="3" t="s">
        <v>43</v>
      </c>
      <c r="E39" s="116">
        <v>220019398499</v>
      </c>
      <c r="F39" s="4" t="s">
        <v>108</v>
      </c>
      <c r="G39" s="13"/>
      <c r="H39" s="14"/>
      <c r="I39" s="82"/>
      <c r="J39" s="81"/>
      <c r="K39" s="13"/>
      <c r="L39" s="14"/>
      <c r="M39" s="10"/>
      <c r="N39" s="16"/>
      <c r="O39" s="13"/>
      <c r="P39" s="14"/>
      <c r="Q39" s="10"/>
      <c r="R39" s="19"/>
      <c r="S39" s="13"/>
      <c r="T39" s="14"/>
      <c r="U39" s="82"/>
      <c r="V39" s="81"/>
      <c r="W39" s="13"/>
      <c r="X39" s="14"/>
      <c r="Y39" s="10"/>
      <c r="Z39" s="16"/>
      <c r="AA39" s="13"/>
      <c r="AB39" s="14"/>
      <c r="AC39" s="10"/>
      <c r="AD39" s="19"/>
      <c r="AF39" s="180"/>
    </row>
    <row r="40" spans="1:32" x14ac:dyDescent="0.3">
      <c r="A40" s="180"/>
      <c r="B40" s="34" t="s">
        <v>109</v>
      </c>
      <c r="C40" s="3" t="s">
        <v>110</v>
      </c>
      <c r="D40" s="3" t="s">
        <v>43</v>
      </c>
      <c r="E40" s="116">
        <v>210004257414</v>
      </c>
      <c r="F40" s="107">
        <v>28086940</v>
      </c>
      <c r="G40" s="13"/>
      <c r="H40" s="14"/>
      <c r="I40" s="82"/>
      <c r="J40" s="81"/>
      <c r="K40" s="13"/>
      <c r="L40" s="14"/>
      <c r="M40" s="10"/>
      <c r="N40" s="16"/>
      <c r="O40" s="13"/>
      <c r="P40" s="14"/>
      <c r="Q40" s="10"/>
      <c r="R40" s="19"/>
      <c r="S40" s="13"/>
      <c r="T40" s="14"/>
      <c r="U40" s="82"/>
      <c r="V40" s="81"/>
      <c r="W40" s="13"/>
      <c r="X40" s="14"/>
      <c r="Y40" s="10"/>
      <c r="Z40" s="16"/>
      <c r="AA40" s="13"/>
      <c r="AB40" s="14"/>
      <c r="AC40" s="10"/>
      <c r="AD40" s="19"/>
      <c r="AF40" s="180"/>
    </row>
    <row r="41" spans="1:32" x14ac:dyDescent="0.3">
      <c r="A41" s="180"/>
      <c r="B41" s="34" t="s">
        <v>111</v>
      </c>
      <c r="C41" s="3" t="s">
        <v>112</v>
      </c>
      <c r="D41" s="3" t="s">
        <v>40</v>
      </c>
      <c r="E41" s="116">
        <v>210004257704</v>
      </c>
      <c r="F41" s="118">
        <v>27817259</v>
      </c>
      <c r="G41" s="9"/>
      <c r="H41" s="14"/>
      <c r="I41" s="10"/>
      <c r="J41" s="16"/>
      <c r="K41" s="12"/>
      <c r="L41" s="14"/>
      <c r="M41" s="10"/>
      <c r="N41" s="16"/>
      <c r="O41" s="13"/>
      <c r="P41" s="14"/>
      <c r="Q41" s="10"/>
      <c r="R41" s="19"/>
      <c r="S41" s="13"/>
      <c r="T41" s="14"/>
      <c r="U41" s="82"/>
      <c r="V41" s="81"/>
      <c r="W41" s="13"/>
      <c r="X41" s="14"/>
      <c r="Y41" s="10"/>
      <c r="Z41" s="16"/>
      <c r="AA41" s="13"/>
      <c r="AB41" s="14"/>
      <c r="AC41" s="10"/>
      <c r="AD41" s="19"/>
      <c r="AF41" s="180"/>
    </row>
    <row r="42" spans="1:32" x14ac:dyDescent="0.3">
      <c r="A42" s="180"/>
      <c r="B42" s="34" t="s">
        <v>113</v>
      </c>
      <c r="C42" s="3" t="s">
        <v>114</v>
      </c>
      <c r="D42" s="3" t="s">
        <v>43</v>
      </c>
      <c r="E42" s="117">
        <v>210004257780</v>
      </c>
      <c r="F42" s="4" t="s">
        <v>115</v>
      </c>
      <c r="G42" s="13"/>
      <c r="H42" s="14"/>
      <c r="I42" s="82"/>
      <c r="J42" s="81"/>
      <c r="K42" s="13"/>
      <c r="L42" s="14"/>
      <c r="M42" s="10"/>
      <c r="N42" s="16"/>
      <c r="O42" s="13"/>
      <c r="P42" s="14"/>
      <c r="Q42" s="10"/>
      <c r="R42" s="19"/>
      <c r="S42" s="13"/>
      <c r="T42" s="14"/>
      <c r="U42" s="82"/>
      <c r="V42" s="81"/>
      <c r="W42" s="13"/>
      <c r="X42" s="14"/>
      <c r="Y42" s="10"/>
      <c r="Z42" s="16"/>
      <c r="AA42" s="13"/>
      <c r="AB42" s="14"/>
      <c r="AC42" s="10"/>
      <c r="AD42" s="19"/>
      <c r="AF42" s="180"/>
    </row>
    <row r="43" spans="1:32" x14ac:dyDescent="0.3">
      <c r="A43" s="180"/>
      <c r="B43" s="34" t="s">
        <v>116</v>
      </c>
      <c r="C43" s="3" t="s">
        <v>117</v>
      </c>
      <c r="D43" s="3" t="s">
        <v>43</v>
      </c>
      <c r="E43" s="117">
        <v>210004257889</v>
      </c>
      <c r="F43" s="4">
        <v>27957165</v>
      </c>
      <c r="G43" s="13"/>
      <c r="H43" s="14"/>
      <c r="I43" s="82"/>
      <c r="J43" s="81"/>
      <c r="K43" s="13"/>
      <c r="L43" s="14"/>
      <c r="M43" s="10"/>
      <c r="N43" s="16"/>
      <c r="O43" s="13"/>
      <c r="P43" s="14"/>
      <c r="Q43" s="10"/>
      <c r="R43" s="19"/>
      <c r="S43" s="13"/>
      <c r="T43" s="14"/>
      <c r="U43" s="82"/>
      <c r="V43" s="81"/>
      <c r="W43" s="13"/>
      <c r="X43" s="14"/>
      <c r="Y43" s="10"/>
      <c r="Z43" s="16"/>
      <c r="AA43" s="13"/>
      <c r="AB43" s="14"/>
      <c r="AC43" s="10"/>
      <c r="AD43" s="19"/>
      <c r="AF43" s="180"/>
    </row>
    <row r="44" spans="1:32" x14ac:dyDescent="0.3">
      <c r="A44" s="180"/>
      <c r="B44" s="34" t="s">
        <v>118</v>
      </c>
      <c r="C44" s="3" t="s">
        <v>119</v>
      </c>
      <c r="D44" s="3" t="s">
        <v>43</v>
      </c>
      <c r="E44" s="116">
        <v>220016710601</v>
      </c>
      <c r="F44" s="4">
        <v>64409665</v>
      </c>
      <c r="G44" s="13"/>
      <c r="H44" s="14"/>
      <c r="I44" s="81"/>
      <c r="J44" s="81"/>
      <c r="K44" s="13"/>
      <c r="L44" s="14"/>
      <c r="M44" s="10"/>
      <c r="N44" s="16"/>
      <c r="O44" s="13"/>
      <c r="P44" s="14"/>
      <c r="Q44" s="10"/>
      <c r="R44" s="19"/>
      <c r="S44" s="13"/>
      <c r="T44" s="14"/>
      <c r="U44" s="81"/>
      <c r="V44" s="81"/>
      <c r="W44" s="13"/>
      <c r="X44" s="14"/>
      <c r="Y44" s="10"/>
      <c r="Z44" s="16"/>
      <c r="AA44" s="13"/>
      <c r="AB44" s="14"/>
      <c r="AC44" s="10"/>
      <c r="AD44" s="19"/>
      <c r="AF44" s="180"/>
    </row>
    <row r="45" spans="1:32" x14ac:dyDescent="0.3">
      <c r="A45" s="180"/>
      <c r="B45" s="34" t="s">
        <v>120</v>
      </c>
      <c r="C45" s="3" t="s">
        <v>121</v>
      </c>
      <c r="D45" s="3" t="s">
        <v>43</v>
      </c>
      <c r="E45" s="116">
        <v>210004080263</v>
      </c>
      <c r="F45" s="4">
        <v>64332582</v>
      </c>
      <c r="G45" s="13"/>
      <c r="H45" s="14"/>
      <c r="I45" s="82"/>
      <c r="J45" s="81"/>
      <c r="K45" s="13"/>
      <c r="L45" s="14"/>
      <c r="M45" s="10"/>
      <c r="N45" s="16"/>
      <c r="O45" s="13"/>
      <c r="P45" s="14"/>
      <c r="Q45" s="10"/>
      <c r="R45" s="19"/>
      <c r="S45" s="13"/>
      <c r="T45" s="14"/>
      <c r="U45" s="82"/>
      <c r="V45" s="81"/>
      <c r="W45" s="13"/>
      <c r="X45" s="14"/>
      <c r="Y45" s="10"/>
      <c r="Z45" s="16"/>
      <c r="AA45" s="13"/>
      <c r="AB45" s="14"/>
      <c r="AC45" s="10"/>
      <c r="AD45" s="19"/>
      <c r="AF45" s="180"/>
    </row>
    <row r="46" spans="1:32" x14ac:dyDescent="0.3">
      <c r="A46" s="180"/>
      <c r="B46" s="34" t="s">
        <v>122</v>
      </c>
      <c r="C46" s="3" t="s">
        <v>123</v>
      </c>
      <c r="D46" s="3" t="s">
        <v>43</v>
      </c>
      <c r="E46" s="116">
        <v>210004200883</v>
      </c>
      <c r="F46" s="4">
        <v>27318788</v>
      </c>
      <c r="G46" s="13"/>
      <c r="H46" s="14"/>
      <c r="I46" s="81"/>
      <c r="J46" s="81"/>
      <c r="K46" s="13"/>
      <c r="L46" s="14"/>
      <c r="M46" s="10"/>
      <c r="N46" s="16"/>
      <c r="O46" s="13"/>
      <c r="P46" s="14"/>
      <c r="Q46" s="10"/>
      <c r="R46" s="19"/>
      <c r="S46" s="13"/>
      <c r="T46" s="14"/>
      <c r="U46" s="81"/>
      <c r="V46" s="81"/>
      <c r="W46" s="13"/>
      <c r="X46" s="14"/>
      <c r="Y46" s="10"/>
      <c r="Z46" s="16"/>
      <c r="AA46" s="13"/>
      <c r="AB46" s="14"/>
      <c r="AC46" s="10"/>
      <c r="AD46" s="19"/>
      <c r="AF46" s="180"/>
    </row>
    <row r="47" spans="1:32" x14ac:dyDescent="0.3">
      <c r="A47" s="180"/>
      <c r="B47" s="34" t="s">
        <v>124</v>
      </c>
      <c r="C47" s="3" t="s">
        <v>125</v>
      </c>
      <c r="D47" s="3" t="s">
        <v>43</v>
      </c>
      <c r="E47" s="116">
        <v>210004255623</v>
      </c>
      <c r="F47" s="4">
        <v>63699265</v>
      </c>
      <c r="G47" s="13"/>
      <c r="H47" s="14"/>
      <c r="I47" s="82"/>
      <c r="J47" s="81"/>
      <c r="K47" s="13"/>
      <c r="L47" s="14"/>
      <c r="M47" s="10"/>
      <c r="N47" s="16"/>
      <c r="O47" s="13"/>
      <c r="P47" s="14"/>
      <c r="Q47" s="10"/>
      <c r="R47" s="19"/>
      <c r="S47" s="13"/>
      <c r="T47" s="14"/>
      <c r="U47" s="82"/>
      <c r="V47" s="81"/>
      <c r="W47" s="13"/>
      <c r="X47" s="14"/>
      <c r="Y47" s="10"/>
      <c r="Z47" s="16"/>
      <c r="AA47" s="13"/>
      <c r="AB47" s="14"/>
      <c r="AC47" s="10"/>
      <c r="AD47" s="19"/>
      <c r="AF47" s="180"/>
    </row>
    <row r="48" spans="1:32" x14ac:dyDescent="0.3">
      <c r="A48" s="180"/>
      <c r="B48" s="34" t="s">
        <v>126</v>
      </c>
      <c r="C48" s="3" t="s">
        <v>127</v>
      </c>
      <c r="D48" s="3" t="s">
        <v>43</v>
      </c>
      <c r="E48" s="116">
        <v>210004255524</v>
      </c>
      <c r="F48" s="4">
        <v>27654641</v>
      </c>
      <c r="G48" s="13"/>
      <c r="H48" s="14"/>
      <c r="I48" s="81"/>
      <c r="J48" s="81"/>
      <c r="K48" s="13"/>
      <c r="L48" s="14"/>
      <c r="M48" s="10"/>
      <c r="N48" s="16"/>
      <c r="O48" s="13"/>
      <c r="P48" s="14"/>
      <c r="Q48" s="10"/>
      <c r="R48" s="19"/>
      <c r="S48" s="13"/>
      <c r="T48" s="14"/>
      <c r="U48" s="81"/>
      <c r="V48" s="81"/>
      <c r="W48" s="13"/>
      <c r="X48" s="14"/>
      <c r="Y48" s="10"/>
      <c r="Z48" s="16"/>
      <c r="AA48" s="13"/>
      <c r="AB48" s="14"/>
      <c r="AC48" s="10"/>
      <c r="AD48" s="19"/>
      <c r="AF48" s="180"/>
    </row>
    <row r="49" spans="1:32" x14ac:dyDescent="0.3">
      <c r="A49" s="180"/>
      <c r="B49" s="34" t="s">
        <v>128</v>
      </c>
      <c r="C49" s="3" t="s">
        <v>129</v>
      </c>
      <c r="D49" s="3" t="s">
        <v>43</v>
      </c>
      <c r="E49" s="116">
        <v>210004255425</v>
      </c>
      <c r="F49" s="4" t="s">
        <v>130</v>
      </c>
      <c r="G49" s="13"/>
      <c r="H49" s="14"/>
      <c r="I49" s="81"/>
      <c r="J49" s="81"/>
      <c r="K49" s="13"/>
      <c r="L49" s="14"/>
      <c r="M49" s="10"/>
      <c r="N49" s="16"/>
      <c r="O49" s="13"/>
      <c r="P49" s="14"/>
      <c r="Q49" s="10"/>
      <c r="R49" s="19"/>
      <c r="S49" s="13"/>
      <c r="T49" s="14"/>
      <c r="U49" s="81"/>
      <c r="V49" s="81"/>
      <c r="W49" s="13"/>
      <c r="X49" s="14"/>
      <c r="Y49" s="10"/>
      <c r="Z49" s="16"/>
      <c r="AA49" s="13"/>
      <c r="AB49" s="14"/>
      <c r="AC49" s="10"/>
      <c r="AD49" s="19"/>
      <c r="AF49" s="180"/>
    </row>
    <row r="50" spans="1:32" x14ac:dyDescent="0.3">
      <c r="A50" s="180"/>
      <c r="B50" s="34" t="s">
        <v>131</v>
      </c>
      <c r="C50" s="3" t="s">
        <v>132</v>
      </c>
      <c r="D50" s="3" t="s">
        <v>43</v>
      </c>
      <c r="E50" s="116">
        <v>210004255333</v>
      </c>
      <c r="F50" s="107">
        <v>28141686</v>
      </c>
      <c r="G50" s="13"/>
      <c r="H50" s="14"/>
      <c r="I50" s="82"/>
      <c r="J50" s="81"/>
      <c r="K50" s="13"/>
      <c r="L50" s="14"/>
      <c r="M50" s="10"/>
      <c r="N50" s="16"/>
      <c r="O50" s="13"/>
      <c r="P50" s="14"/>
      <c r="Q50" s="10"/>
      <c r="R50" s="19"/>
      <c r="S50" s="13"/>
      <c r="T50" s="14"/>
      <c r="U50" s="82"/>
      <c r="V50" s="81"/>
      <c r="W50" s="13"/>
      <c r="X50" s="14"/>
      <c r="Y50" s="10"/>
      <c r="Z50" s="16"/>
      <c r="AA50" s="13"/>
      <c r="AB50" s="14"/>
      <c r="AC50" s="10"/>
      <c r="AD50" s="19"/>
      <c r="AF50" s="180"/>
    </row>
    <row r="51" spans="1:32" x14ac:dyDescent="0.3">
      <c r="A51" s="180"/>
      <c r="B51" s="34" t="s">
        <v>133</v>
      </c>
      <c r="C51" s="3" t="s">
        <v>134</v>
      </c>
      <c r="D51" s="3" t="s">
        <v>43</v>
      </c>
      <c r="E51" s="116">
        <v>210004255227</v>
      </c>
      <c r="F51" s="4" t="s">
        <v>135</v>
      </c>
      <c r="G51" s="13"/>
      <c r="H51" s="14"/>
      <c r="I51" s="82"/>
      <c r="J51" s="81"/>
      <c r="K51" s="13"/>
      <c r="L51" s="14"/>
      <c r="M51" s="10"/>
      <c r="N51" s="16"/>
      <c r="O51" s="13"/>
      <c r="P51" s="14"/>
      <c r="Q51" s="10"/>
      <c r="R51" s="19"/>
      <c r="S51" s="13"/>
      <c r="T51" s="14"/>
      <c r="U51" s="82"/>
      <c r="V51" s="81"/>
      <c r="W51" s="13"/>
      <c r="X51" s="14"/>
      <c r="Y51" s="10"/>
      <c r="Z51" s="16"/>
      <c r="AA51" s="13"/>
      <c r="AB51" s="14"/>
      <c r="AC51" s="10"/>
      <c r="AD51" s="19"/>
      <c r="AF51" s="180"/>
    </row>
    <row r="52" spans="1:32" x14ac:dyDescent="0.3">
      <c r="A52" s="180"/>
      <c r="B52" s="34" t="s">
        <v>136</v>
      </c>
      <c r="C52" s="3" t="s">
        <v>137</v>
      </c>
      <c r="D52" s="3" t="s">
        <v>43</v>
      </c>
      <c r="E52" s="116">
        <v>210004255135</v>
      </c>
      <c r="F52" s="4">
        <v>27654962</v>
      </c>
      <c r="G52" s="13"/>
      <c r="H52" s="14"/>
      <c r="I52" s="81"/>
      <c r="J52" s="81"/>
      <c r="K52" s="13"/>
      <c r="L52" s="14"/>
      <c r="M52" s="10"/>
      <c r="N52" s="16"/>
      <c r="O52" s="13"/>
      <c r="P52" s="14"/>
      <c r="Q52" s="10"/>
      <c r="R52" s="19"/>
      <c r="S52" s="109"/>
      <c r="T52" s="14"/>
      <c r="U52" s="81"/>
      <c r="V52" s="81"/>
      <c r="W52" s="13"/>
      <c r="X52" s="14"/>
      <c r="Y52" s="10"/>
      <c r="Z52" s="16"/>
      <c r="AA52" s="13"/>
      <c r="AB52" s="14"/>
      <c r="AC52" s="10"/>
      <c r="AD52" s="19"/>
      <c r="AF52" s="180"/>
    </row>
    <row r="53" spans="1:32" x14ac:dyDescent="0.3">
      <c r="A53" s="180"/>
      <c r="B53" s="34" t="s">
        <v>138</v>
      </c>
      <c r="C53" s="3" t="s">
        <v>139</v>
      </c>
      <c r="D53" s="3" t="s">
        <v>43</v>
      </c>
      <c r="E53" s="116">
        <v>210006663619</v>
      </c>
      <c r="F53" s="4" t="s">
        <v>140</v>
      </c>
      <c r="G53" s="13"/>
      <c r="H53" s="14"/>
      <c r="I53" s="82"/>
      <c r="J53" s="81"/>
      <c r="K53" s="13"/>
      <c r="L53" s="14"/>
      <c r="M53" s="10"/>
      <c r="N53" s="16"/>
      <c r="O53" s="13"/>
      <c r="P53" s="14"/>
      <c r="Q53" s="10"/>
      <c r="R53" s="19"/>
      <c r="S53" s="13"/>
      <c r="T53" s="14"/>
      <c r="U53" s="82"/>
      <c r="V53" s="81"/>
      <c r="W53" s="13"/>
      <c r="X53" s="14"/>
      <c r="Y53" s="10"/>
      <c r="Z53" s="16"/>
      <c r="AA53" s="13"/>
      <c r="AB53" s="14"/>
      <c r="AC53" s="10"/>
      <c r="AD53" s="19"/>
      <c r="AF53" s="180"/>
    </row>
    <row r="54" spans="1:32" x14ac:dyDescent="0.3">
      <c r="A54" s="180"/>
      <c r="B54" s="34" t="s">
        <v>141</v>
      </c>
      <c r="C54" s="3" t="s">
        <v>142</v>
      </c>
      <c r="D54" s="3" t="s">
        <v>43</v>
      </c>
      <c r="E54" s="116">
        <v>210004204786</v>
      </c>
      <c r="F54" s="4">
        <v>27632626</v>
      </c>
      <c r="G54" s="13"/>
      <c r="H54" s="14"/>
      <c r="I54" s="81"/>
      <c r="J54" s="81"/>
      <c r="K54" s="13"/>
      <c r="L54" s="14"/>
      <c r="M54" s="10"/>
      <c r="N54" s="16"/>
      <c r="O54" s="13"/>
      <c r="P54" s="14"/>
      <c r="Q54" s="10"/>
      <c r="R54" s="19"/>
      <c r="S54" s="13"/>
      <c r="T54" s="14"/>
      <c r="U54" s="81"/>
      <c r="V54" s="81"/>
      <c r="W54" s="13"/>
      <c r="X54" s="14"/>
      <c r="Y54" s="10"/>
      <c r="Z54" s="16"/>
      <c r="AA54" s="13"/>
      <c r="AB54" s="14"/>
      <c r="AC54" s="10"/>
      <c r="AD54" s="19"/>
      <c r="AF54" s="180"/>
    </row>
    <row r="55" spans="1:32" x14ac:dyDescent="0.3">
      <c r="A55" s="180"/>
      <c r="B55" s="34" t="s">
        <v>143</v>
      </c>
      <c r="C55" s="3" t="s">
        <v>144</v>
      </c>
      <c r="D55" s="3" t="s">
        <v>43</v>
      </c>
      <c r="E55" s="116">
        <v>210004204519</v>
      </c>
      <c r="F55" s="4">
        <v>27318790</v>
      </c>
      <c r="G55" s="13"/>
      <c r="H55" s="14"/>
      <c r="I55" s="82"/>
      <c r="J55" s="81"/>
      <c r="K55" s="13"/>
      <c r="L55" s="14"/>
      <c r="M55" s="10"/>
      <c r="N55" s="16"/>
      <c r="O55" s="13"/>
      <c r="P55" s="14"/>
      <c r="Q55" s="10"/>
      <c r="R55" s="19"/>
      <c r="S55" s="13"/>
      <c r="T55" s="14"/>
      <c r="U55" s="82"/>
      <c r="V55" s="81"/>
      <c r="W55" s="13"/>
      <c r="X55" s="14"/>
      <c r="Y55" s="10"/>
      <c r="Z55" s="16"/>
      <c r="AA55" s="13"/>
      <c r="AB55" s="14"/>
      <c r="AC55" s="10"/>
      <c r="AD55" s="19"/>
      <c r="AF55" s="180"/>
    </row>
    <row r="56" spans="1:32" x14ac:dyDescent="0.3">
      <c r="A56" s="180"/>
      <c r="B56" s="34" t="s">
        <v>145</v>
      </c>
      <c r="C56" s="3" t="s">
        <v>146</v>
      </c>
      <c r="D56" s="3" t="s">
        <v>43</v>
      </c>
      <c r="E56" s="116">
        <v>210004204403</v>
      </c>
      <c r="F56" s="4">
        <v>27654886</v>
      </c>
      <c r="G56" s="13"/>
      <c r="H56" s="78"/>
      <c r="I56" s="82"/>
      <c r="J56" s="81"/>
      <c r="K56" s="13"/>
      <c r="L56" s="14"/>
      <c r="M56" s="10"/>
      <c r="N56" s="16"/>
      <c r="O56" s="13"/>
      <c r="P56" s="14"/>
      <c r="Q56" s="10"/>
      <c r="R56" s="19"/>
      <c r="S56" s="13"/>
      <c r="T56" s="14"/>
      <c r="U56" s="82"/>
      <c r="V56" s="81"/>
      <c r="W56" s="13"/>
      <c r="X56" s="14"/>
      <c r="Y56" s="10"/>
      <c r="Z56" s="16"/>
      <c r="AA56" s="13"/>
      <c r="AB56" s="14"/>
      <c r="AC56" s="10"/>
      <c r="AD56" s="19"/>
      <c r="AF56" s="180"/>
    </row>
    <row r="57" spans="1:32" x14ac:dyDescent="0.3">
      <c r="A57" s="180"/>
      <c r="B57" s="34" t="s">
        <v>147</v>
      </c>
      <c r="C57" s="3" t="s">
        <v>148</v>
      </c>
      <c r="D57" s="3" t="s">
        <v>44</v>
      </c>
      <c r="E57" s="116">
        <v>210003870654</v>
      </c>
      <c r="F57" s="4" t="s">
        <v>149</v>
      </c>
      <c r="G57" s="13"/>
      <c r="H57" s="14"/>
      <c r="I57" s="81"/>
      <c r="J57" s="81"/>
      <c r="K57" s="13"/>
      <c r="L57" s="14"/>
      <c r="M57" s="10"/>
      <c r="N57" s="16"/>
      <c r="O57" s="13"/>
      <c r="P57" s="14"/>
      <c r="Q57" s="10"/>
      <c r="R57" s="19"/>
      <c r="S57" s="13"/>
      <c r="T57" s="14"/>
      <c r="U57" s="82"/>
      <c r="V57" s="81"/>
      <c r="W57" s="13"/>
      <c r="X57" s="14"/>
      <c r="Y57" s="10"/>
      <c r="Z57" s="16"/>
      <c r="AA57" s="13"/>
      <c r="AB57" s="14"/>
      <c r="AC57" s="10"/>
      <c r="AD57" s="19"/>
      <c r="AF57" s="180"/>
    </row>
    <row r="58" spans="1:32" x14ac:dyDescent="0.3">
      <c r="A58" s="180"/>
      <c r="B58" s="34" t="s">
        <v>150</v>
      </c>
      <c r="C58" s="3" t="s">
        <v>148</v>
      </c>
      <c r="D58" s="3" t="s">
        <v>44</v>
      </c>
      <c r="E58" s="116">
        <v>210007909066</v>
      </c>
      <c r="F58" s="118">
        <v>97028412</v>
      </c>
      <c r="G58" s="13"/>
      <c r="H58" s="14"/>
      <c r="I58" s="81"/>
      <c r="J58" s="81"/>
      <c r="K58" s="13"/>
      <c r="L58" s="14"/>
      <c r="M58" s="10"/>
      <c r="N58" s="16"/>
      <c r="O58" s="13"/>
      <c r="P58" s="14"/>
      <c r="Q58" s="10"/>
      <c r="R58" s="19"/>
      <c r="S58" s="13"/>
      <c r="T58" s="14"/>
      <c r="U58" s="81"/>
      <c r="V58" s="81"/>
      <c r="W58" s="13"/>
      <c r="X58" s="14"/>
      <c r="Y58" s="10"/>
      <c r="Z58" s="16"/>
      <c r="AA58" s="13"/>
      <c r="AB58" s="14"/>
      <c r="AC58" s="10"/>
      <c r="AD58" s="19"/>
      <c r="AF58" s="180"/>
    </row>
    <row r="59" spans="1:32" x14ac:dyDescent="0.3">
      <c r="A59" s="180"/>
      <c r="B59" s="34" t="s">
        <v>150</v>
      </c>
      <c r="C59" s="3" t="s">
        <v>151</v>
      </c>
      <c r="D59" s="3" t="s">
        <v>44</v>
      </c>
      <c r="E59" s="116">
        <v>210007909554</v>
      </c>
      <c r="F59" s="118">
        <v>97028409</v>
      </c>
      <c r="G59" s="13"/>
      <c r="H59" s="14"/>
      <c r="I59" s="81"/>
      <c r="J59" s="81"/>
      <c r="K59" s="13"/>
      <c r="L59" s="14"/>
      <c r="M59" s="10"/>
      <c r="N59" s="16"/>
      <c r="O59" s="13"/>
      <c r="P59" s="14"/>
      <c r="Q59" s="10"/>
      <c r="R59" s="19"/>
      <c r="S59" s="13"/>
      <c r="T59" s="14"/>
      <c r="U59" s="81"/>
      <c r="V59" s="81"/>
      <c r="W59" s="13"/>
      <c r="X59" s="14"/>
      <c r="Y59" s="10"/>
      <c r="Z59" s="16"/>
      <c r="AA59" s="13"/>
      <c r="AB59" s="14"/>
      <c r="AC59" s="10"/>
      <c r="AD59" s="19"/>
      <c r="AF59" s="180"/>
    </row>
    <row r="60" spans="1:32" x14ac:dyDescent="0.3">
      <c r="A60" s="180"/>
      <c r="B60" s="34" t="s">
        <v>152</v>
      </c>
      <c r="C60" s="3" t="s">
        <v>153</v>
      </c>
      <c r="D60" s="3" t="s">
        <v>44</v>
      </c>
      <c r="E60" s="116">
        <v>210007909301</v>
      </c>
      <c r="F60" s="118">
        <v>97028407</v>
      </c>
      <c r="G60" s="13"/>
      <c r="H60" s="14"/>
      <c r="I60" s="81"/>
      <c r="J60" s="81"/>
      <c r="K60" s="13"/>
      <c r="L60" s="14"/>
      <c r="M60" s="10"/>
      <c r="N60" s="16"/>
      <c r="O60" s="13"/>
      <c r="P60" s="14"/>
      <c r="Q60" s="10"/>
      <c r="R60" s="19"/>
      <c r="S60" s="13"/>
      <c r="T60" s="14"/>
      <c r="U60" s="81"/>
      <c r="V60" s="81"/>
      <c r="W60" s="13"/>
      <c r="X60" s="14"/>
      <c r="Y60" s="10"/>
      <c r="Z60" s="16"/>
      <c r="AA60" s="13"/>
      <c r="AB60" s="14"/>
      <c r="AC60" s="10"/>
      <c r="AD60" s="19"/>
      <c r="AF60" s="180"/>
    </row>
    <row r="61" spans="1:32" x14ac:dyDescent="0.3">
      <c r="A61" s="180"/>
      <c r="B61" s="34" t="s">
        <v>147</v>
      </c>
      <c r="C61" s="3" t="s">
        <v>154</v>
      </c>
      <c r="D61" s="3" t="s">
        <v>44</v>
      </c>
      <c r="E61" s="116">
        <v>210005865641</v>
      </c>
      <c r="F61" s="118">
        <v>97028405</v>
      </c>
      <c r="G61" s="13"/>
      <c r="H61" s="14"/>
      <c r="I61" s="81"/>
      <c r="J61" s="81"/>
      <c r="K61" s="13"/>
      <c r="L61" s="14"/>
      <c r="M61" s="10"/>
      <c r="N61" s="16"/>
      <c r="O61" s="13"/>
      <c r="P61" s="14"/>
      <c r="Q61" s="10"/>
      <c r="R61" s="19"/>
      <c r="S61" s="13"/>
      <c r="T61" s="14"/>
      <c r="U61" s="81"/>
      <c r="V61" s="81"/>
      <c r="W61" s="13"/>
      <c r="X61" s="14"/>
      <c r="Y61" s="10"/>
      <c r="Z61" s="16"/>
      <c r="AA61" s="13"/>
      <c r="AB61" s="14"/>
      <c r="AC61" s="10"/>
      <c r="AD61" s="19"/>
      <c r="AF61" s="180"/>
    </row>
    <row r="62" spans="1:32" x14ac:dyDescent="0.3">
      <c r="A62" s="180"/>
      <c r="B62" s="34" t="s">
        <v>155</v>
      </c>
      <c r="C62" s="3" t="s">
        <v>156</v>
      </c>
      <c r="D62" s="3" t="s">
        <v>44</v>
      </c>
      <c r="E62" s="116">
        <v>220005467464</v>
      </c>
      <c r="F62" s="107">
        <v>27632610</v>
      </c>
      <c r="G62" s="13"/>
      <c r="H62" s="14"/>
      <c r="I62" s="82"/>
      <c r="J62" s="81"/>
      <c r="K62" s="13"/>
      <c r="L62" s="14"/>
      <c r="M62" s="10"/>
      <c r="N62" s="16"/>
      <c r="O62" s="13"/>
      <c r="P62" s="14"/>
      <c r="Q62" s="10"/>
      <c r="R62" s="19"/>
      <c r="S62" s="13"/>
      <c r="T62" s="14"/>
      <c r="U62" s="81"/>
      <c r="V62" s="81"/>
      <c r="W62" s="13"/>
      <c r="X62" s="14"/>
      <c r="Y62" s="10"/>
      <c r="Z62" s="16"/>
      <c r="AA62" s="13"/>
      <c r="AB62" s="14"/>
      <c r="AC62" s="10"/>
      <c r="AD62" s="19"/>
      <c r="AF62" s="180"/>
    </row>
    <row r="63" spans="1:32" x14ac:dyDescent="0.3">
      <c r="A63" s="180"/>
      <c r="B63" s="34" t="s">
        <v>157</v>
      </c>
      <c r="C63" s="3" t="s">
        <v>158</v>
      </c>
      <c r="D63" s="3" t="s">
        <v>158</v>
      </c>
      <c r="E63" s="116">
        <v>220040645175</v>
      </c>
      <c r="F63" s="118">
        <v>93934346</v>
      </c>
      <c r="G63" s="13"/>
      <c r="H63" s="14"/>
      <c r="I63" s="82"/>
      <c r="J63" s="81"/>
      <c r="K63" s="13"/>
      <c r="L63" s="14"/>
      <c r="M63" s="10"/>
      <c r="N63" s="16"/>
      <c r="O63" s="13"/>
      <c r="P63" s="14"/>
      <c r="Q63" s="10"/>
      <c r="R63" s="19"/>
      <c r="S63" s="13"/>
      <c r="T63" s="14"/>
      <c r="U63" s="82"/>
      <c r="V63" s="81"/>
      <c r="W63" s="13"/>
      <c r="X63" s="14"/>
      <c r="Y63" s="10"/>
      <c r="Z63" s="16"/>
      <c r="AA63" s="13"/>
      <c r="AB63" s="14"/>
      <c r="AC63" s="10"/>
      <c r="AD63" s="19"/>
      <c r="AF63" s="180"/>
    </row>
    <row r="64" spans="1:32" x14ac:dyDescent="0.3">
      <c r="A64" s="180"/>
      <c r="B64" s="34" t="s">
        <v>159</v>
      </c>
      <c r="C64" s="3" t="s">
        <v>160</v>
      </c>
      <c r="D64" s="3" t="s">
        <v>158</v>
      </c>
      <c r="E64" s="116">
        <v>220040493251</v>
      </c>
      <c r="F64" s="4">
        <v>93934343</v>
      </c>
      <c r="G64" s="13"/>
      <c r="H64" s="14"/>
      <c r="I64" s="81"/>
      <c r="J64" s="81"/>
      <c r="K64" s="13"/>
      <c r="L64" s="14"/>
      <c r="M64" s="10"/>
      <c r="N64" s="16"/>
      <c r="O64" s="13"/>
      <c r="P64" s="14"/>
      <c r="Q64" s="10"/>
      <c r="R64" s="19"/>
      <c r="S64" s="13"/>
      <c r="T64" s="14"/>
      <c r="U64" s="81"/>
      <c r="V64" s="81"/>
      <c r="W64" s="13"/>
      <c r="X64" s="14"/>
      <c r="Y64" s="10"/>
      <c r="Z64" s="16"/>
      <c r="AA64" s="13"/>
      <c r="AB64" s="14"/>
      <c r="AC64" s="10"/>
      <c r="AD64" s="19"/>
      <c r="AF64" s="180"/>
    </row>
    <row r="65" spans="1:32" x14ac:dyDescent="0.3">
      <c r="A65" s="180"/>
      <c r="B65" s="34" t="s">
        <v>147</v>
      </c>
      <c r="C65" s="3" t="s">
        <v>161</v>
      </c>
      <c r="D65" s="3" t="s">
        <v>162</v>
      </c>
      <c r="E65" s="116">
        <v>220006350750</v>
      </c>
      <c r="F65" s="118">
        <v>97028418</v>
      </c>
      <c r="H65" s="102"/>
      <c r="J65" s="102"/>
      <c r="M65" s="10"/>
      <c r="N65" s="16"/>
      <c r="O65" s="13"/>
      <c r="P65" s="14"/>
      <c r="Q65" s="10"/>
      <c r="R65" s="19"/>
      <c r="S65" s="13"/>
      <c r="T65" s="14"/>
      <c r="U65" s="82"/>
      <c r="V65" s="81"/>
      <c r="W65" s="13"/>
      <c r="X65" s="14"/>
      <c r="Y65" s="10"/>
      <c r="Z65" s="16"/>
      <c r="AA65" s="13"/>
      <c r="AB65" s="14"/>
      <c r="AC65" s="10"/>
      <c r="AD65" s="19"/>
      <c r="AF65" s="180"/>
    </row>
    <row r="66" spans="1:32" ht="18" x14ac:dyDescent="0.35">
      <c r="A66" s="180"/>
      <c r="B66" s="3" t="s">
        <v>150</v>
      </c>
      <c r="C66" s="3" t="s">
        <v>163</v>
      </c>
      <c r="D66" s="3" t="s">
        <v>162</v>
      </c>
      <c r="E66" s="163">
        <v>210005850021</v>
      </c>
      <c r="F66" s="4">
        <v>97028422</v>
      </c>
      <c r="H66" s="102"/>
      <c r="J66" s="102"/>
      <c r="L66" s="102"/>
      <c r="M66" s="10"/>
      <c r="N66" s="16"/>
      <c r="O66" s="13"/>
      <c r="P66" s="14"/>
      <c r="Q66" s="10"/>
      <c r="R66" s="19"/>
      <c r="S66" s="13"/>
      <c r="T66" s="14"/>
      <c r="U66" s="81"/>
      <c r="V66" s="81"/>
      <c r="W66" s="13"/>
      <c r="X66" s="14"/>
      <c r="Y66" s="10"/>
      <c r="Z66" s="16"/>
      <c r="AA66" s="13"/>
      <c r="AB66" s="14"/>
      <c r="AC66" s="10"/>
      <c r="AD66" s="19"/>
      <c r="AF66" s="180"/>
    </row>
    <row r="67" spans="1:32" ht="18" x14ac:dyDescent="0.35">
      <c r="A67" s="180"/>
      <c r="B67" s="3" t="s">
        <v>150</v>
      </c>
      <c r="C67" s="3" t="s">
        <v>164</v>
      </c>
      <c r="D67" s="3" t="s">
        <v>162</v>
      </c>
      <c r="E67" s="163">
        <v>210005850021</v>
      </c>
      <c r="F67" s="72">
        <v>97028410</v>
      </c>
      <c r="H67" s="102"/>
      <c r="J67" s="102"/>
      <c r="L67" s="102"/>
      <c r="M67" s="10"/>
      <c r="N67" s="16"/>
      <c r="O67" s="13"/>
      <c r="P67" s="14"/>
      <c r="Q67" s="10"/>
      <c r="R67" s="19"/>
      <c r="S67" s="13"/>
      <c r="T67" s="14"/>
      <c r="U67" s="82"/>
      <c r="V67" s="81"/>
      <c r="W67" s="13"/>
      <c r="X67" s="14"/>
      <c r="Y67" s="10"/>
      <c r="Z67" s="16"/>
      <c r="AA67" s="13"/>
      <c r="AB67" s="14"/>
      <c r="AC67" s="10"/>
      <c r="AD67" s="19"/>
      <c r="AF67" s="180"/>
    </row>
    <row r="68" spans="1:32" x14ac:dyDescent="0.3">
      <c r="A68" s="180"/>
      <c r="B68" s="102" t="s">
        <v>165</v>
      </c>
      <c r="C68" s="3"/>
      <c r="D68" s="3" t="s">
        <v>40</v>
      </c>
      <c r="E68" s="119">
        <v>210037997187</v>
      </c>
      <c r="F68" s="107">
        <v>27700315</v>
      </c>
      <c r="G68" s="13"/>
      <c r="H68" s="14"/>
      <c r="I68" s="81"/>
      <c r="J68" s="81"/>
      <c r="K68" s="13"/>
      <c r="L68" s="14"/>
      <c r="M68" s="10"/>
      <c r="N68" s="16"/>
      <c r="O68" s="13"/>
      <c r="P68" s="14"/>
      <c r="Q68" s="10"/>
      <c r="R68" s="19"/>
      <c r="S68" s="13"/>
      <c r="T68" s="14"/>
      <c r="U68" s="82"/>
      <c r="V68" s="81"/>
      <c r="W68" s="13"/>
      <c r="X68" s="14"/>
      <c r="Y68" s="10"/>
      <c r="Z68" s="16"/>
      <c r="AA68" s="13"/>
      <c r="AB68" s="14"/>
      <c r="AC68" s="10"/>
      <c r="AD68" s="19"/>
      <c r="AF68" s="180"/>
    </row>
    <row r="69" spans="1:32" x14ac:dyDescent="0.3">
      <c r="A69" s="180"/>
      <c r="B69" s="3" t="s">
        <v>166</v>
      </c>
      <c r="C69" s="3" t="s">
        <v>167</v>
      </c>
      <c r="D69" s="3" t="s">
        <v>40</v>
      </c>
      <c r="E69" s="120">
        <v>210005483117</v>
      </c>
      <c r="F69" s="4"/>
      <c r="G69" s="9"/>
      <c r="H69" s="14"/>
      <c r="I69" s="10"/>
      <c r="J69" s="16"/>
      <c r="K69" s="13"/>
      <c r="L69" s="14"/>
      <c r="M69" s="10"/>
      <c r="N69" s="16"/>
      <c r="O69" s="13"/>
      <c r="P69" s="14"/>
      <c r="Q69" s="10"/>
      <c r="R69" s="19"/>
      <c r="S69" s="13"/>
      <c r="T69" s="14"/>
      <c r="U69" s="82"/>
      <c r="V69" s="81"/>
      <c r="W69" s="13"/>
      <c r="X69" s="14"/>
      <c r="Y69" s="10"/>
      <c r="Z69" s="16"/>
      <c r="AA69" s="13"/>
      <c r="AB69" s="14"/>
      <c r="AC69" s="10"/>
      <c r="AD69" s="19"/>
      <c r="AF69" s="180"/>
    </row>
    <row r="70" spans="1:32" x14ac:dyDescent="0.3">
      <c r="A70" s="180"/>
      <c r="B70" s="3" t="s">
        <v>168</v>
      </c>
      <c r="C70" s="3" t="s">
        <v>167</v>
      </c>
      <c r="D70" s="3" t="s">
        <v>40</v>
      </c>
      <c r="E70" s="116">
        <v>210005865894</v>
      </c>
      <c r="F70" s="4"/>
      <c r="G70" s="9"/>
      <c r="H70" s="14"/>
      <c r="I70" s="10"/>
      <c r="J70" s="16"/>
      <c r="K70" s="13"/>
      <c r="L70" s="14"/>
      <c r="M70" s="10"/>
      <c r="N70" s="16"/>
      <c r="O70" s="13"/>
      <c r="P70" s="14"/>
      <c r="Q70" s="10"/>
      <c r="R70" s="19"/>
      <c r="S70" s="13"/>
      <c r="T70" s="14"/>
      <c r="U70" s="81"/>
      <c r="V70" s="81"/>
      <c r="W70" s="13"/>
      <c r="X70" s="14"/>
      <c r="Y70" s="10"/>
      <c r="Z70" s="16"/>
      <c r="AA70" s="13"/>
      <c r="AB70" s="14"/>
      <c r="AC70" s="10"/>
      <c r="AD70" s="19"/>
      <c r="AF70" s="180"/>
    </row>
    <row r="71" spans="1:32" x14ac:dyDescent="0.3">
      <c r="A71" s="180"/>
      <c r="B71" s="3" t="s">
        <v>169</v>
      </c>
      <c r="C71" s="3" t="s">
        <v>167</v>
      </c>
      <c r="D71" s="3" t="s">
        <v>40</v>
      </c>
      <c r="E71" s="116">
        <v>210005543842</v>
      </c>
      <c r="F71" s="4"/>
      <c r="G71" s="9"/>
      <c r="H71" s="14"/>
      <c r="I71" s="10"/>
      <c r="J71" s="16"/>
      <c r="K71" s="12"/>
      <c r="L71" s="14"/>
      <c r="M71" s="10"/>
      <c r="N71" s="16"/>
      <c r="O71" s="13"/>
      <c r="P71" s="18"/>
      <c r="Q71" s="10"/>
      <c r="R71" s="16"/>
      <c r="S71" s="13"/>
      <c r="T71" s="14"/>
      <c r="U71" s="82"/>
      <c r="V71" s="81"/>
      <c r="W71" s="13"/>
      <c r="X71" s="14"/>
      <c r="Y71" s="10"/>
      <c r="Z71" s="16"/>
      <c r="AA71" s="13"/>
      <c r="AB71" s="14"/>
      <c r="AC71" s="10"/>
      <c r="AD71" s="19"/>
      <c r="AF71" s="180"/>
    </row>
    <row r="72" spans="1:32" x14ac:dyDescent="0.3">
      <c r="A72" s="180"/>
      <c r="B72" s="3" t="s">
        <v>170</v>
      </c>
      <c r="C72" s="3" t="s">
        <v>171</v>
      </c>
      <c r="D72" s="3" t="s">
        <v>40</v>
      </c>
      <c r="E72" s="117">
        <v>210005414821</v>
      </c>
      <c r="F72" s="4"/>
      <c r="G72" s="13"/>
      <c r="H72" s="14"/>
      <c r="I72" s="81"/>
      <c r="J72" s="81"/>
      <c r="K72" s="12"/>
      <c r="L72" s="14"/>
      <c r="M72" s="10"/>
      <c r="N72" s="16"/>
      <c r="O72" s="13"/>
      <c r="P72" s="18"/>
      <c r="Q72" s="10"/>
      <c r="R72" s="16"/>
      <c r="S72" s="13"/>
      <c r="T72" s="14"/>
      <c r="U72" s="81"/>
      <c r="V72" s="81"/>
      <c r="W72" s="13"/>
      <c r="Y72" s="10"/>
      <c r="Z72" s="16"/>
      <c r="AA72" s="13"/>
      <c r="AB72" s="14"/>
      <c r="AC72" s="10"/>
      <c r="AD72" s="19"/>
      <c r="AF72" s="180"/>
    </row>
    <row r="73" spans="1:32" x14ac:dyDescent="0.3">
      <c r="A73" s="180"/>
      <c r="B73" t="s">
        <v>172</v>
      </c>
      <c r="C73" t="s">
        <v>173</v>
      </c>
      <c r="D73" s="3" t="s">
        <v>40</v>
      </c>
      <c r="E73" s="116">
        <v>210005543002</v>
      </c>
      <c r="G73" s="13"/>
      <c r="H73" s="14"/>
      <c r="I73" s="81"/>
      <c r="J73" s="81"/>
      <c r="K73" s="12"/>
      <c r="L73" s="14"/>
      <c r="M73" s="10"/>
      <c r="N73" s="16"/>
      <c r="O73" s="13"/>
      <c r="P73" s="18"/>
      <c r="Q73" s="10"/>
      <c r="R73" s="16"/>
      <c r="S73" s="13"/>
      <c r="T73" s="14"/>
      <c r="U73" s="82"/>
      <c r="V73" s="81"/>
      <c r="W73" s="13"/>
      <c r="X73" s="14"/>
      <c r="Y73" s="10"/>
      <c r="Z73" s="16"/>
      <c r="AA73" s="13"/>
      <c r="AB73" s="14"/>
      <c r="AC73" s="10"/>
      <c r="AD73" s="19"/>
      <c r="AF73" s="180"/>
    </row>
    <row r="74" spans="1:32" x14ac:dyDescent="0.3">
      <c r="A74" s="180"/>
      <c r="B74" t="s">
        <v>174</v>
      </c>
      <c r="D74" s="3" t="s">
        <v>40</v>
      </c>
      <c r="E74" s="116">
        <v>220031707512</v>
      </c>
      <c r="F74" s="118" t="s">
        <v>175</v>
      </c>
      <c r="G74" s="13"/>
      <c r="H74" s="14"/>
      <c r="I74" s="81"/>
      <c r="J74" s="81"/>
      <c r="K74" s="13"/>
      <c r="L74" s="14"/>
      <c r="M74" s="10"/>
      <c r="N74" s="16"/>
      <c r="O74" s="13"/>
      <c r="P74" s="14"/>
      <c r="Q74" s="10"/>
      <c r="R74" s="19"/>
      <c r="S74" s="13"/>
      <c r="T74" s="14"/>
      <c r="U74" s="81"/>
      <c r="V74" s="81"/>
      <c r="W74" s="13"/>
      <c r="X74" s="14"/>
      <c r="Y74" s="10"/>
      <c r="Z74" s="16"/>
      <c r="AA74" s="13"/>
      <c r="AB74" s="14"/>
      <c r="AC74" s="10"/>
      <c r="AD74" s="19"/>
      <c r="AF74" s="180"/>
    </row>
    <row r="75" spans="1:32" x14ac:dyDescent="0.3">
      <c r="A75" s="180"/>
      <c r="B75" s="102" t="s">
        <v>176</v>
      </c>
      <c r="D75" s="3" t="s">
        <v>40</v>
      </c>
      <c r="E75" s="116">
        <v>210005789884</v>
      </c>
      <c r="F75" s="72">
        <v>97028419</v>
      </c>
      <c r="G75" s="13"/>
      <c r="H75" s="14"/>
      <c r="I75" s="81"/>
      <c r="J75" s="81"/>
      <c r="K75" s="13"/>
      <c r="L75" s="14"/>
      <c r="M75" s="10"/>
      <c r="N75" s="16"/>
      <c r="O75" s="13"/>
      <c r="P75" s="14"/>
      <c r="Q75" s="10"/>
      <c r="R75" s="19"/>
      <c r="S75" s="13"/>
      <c r="T75" s="14"/>
      <c r="U75" s="81"/>
      <c r="V75" s="81"/>
      <c r="W75" s="13"/>
      <c r="X75" s="14"/>
      <c r="Y75" s="10"/>
      <c r="Z75" s="16"/>
      <c r="AA75" s="13"/>
      <c r="AB75" s="14"/>
      <c r="AC75" s="10"/>
      <c r="AD75" s="19"/>
      <c r="AF75" s="180"/>
    </row>
    <row r="76" spans="1:32" x14ac:dyDescent="0.3">
      <c r="A76" s="180"/>
      <c r="B76" s="102" t="s">
        <v>177</v>
      </c>
      <c r="D76" s="3" t="s">
        <v>40</v>
      </c>
      <c r="E76" s="116">
        <v>210004259755</v>
      </c>
      <c r="F76" s="118">
        <v>27700200</v>
      </c>
      <c r="G76" s="13"/>
      <c r="H76" s="14"/>
      <c r="I76" s="81"/>
      <c r="J76" s="81"/>
      <c r="K76" s="13"/>
      <c r="L76" s="14"/>
      <c r="M76" s="10"/>
      <c r="N76" s="16"/>
      <c r="O76" s="13"/>
      <c r="P76" s="14"/>
      <c r="Q76" s="10"/>
      <c r="R76" s="19"/>
      <c r="S76" s="13"/>
      <c r="T76" s="14"/>
      <c r="U76" s="81"/>
      <c r="V76" s="81"/>
      <c r="W76" s="13"/>
      <c r="X76" s="14"/>
      <c r="Y76" s="10"/>
      <c r="Z76" s="16"/>
      <c r="AA76" s="13"/>
      <c r="AB76" s="14"/>
      <c r="AC76" s="10"/>
      <c r="AD76" s="19"/>
      <c r="AF76" s="180"/>
    </row>
    <row r="77" spans="1:32" x14ac:dyDescent="0.3">
      <c r="A77" s="180"/>
      <c r="B77" s="102" t="s">
        <v>178</v>
      </c>
      <c r="D77" s="3" t="s">
        <v>40</v>
      </c>
      <c r="E77" s="116">
        <v>210007559171</v>
      </c>
      <c r="F77" s="118" t="s">
        <v>179</v>
      </c>
      <c r="G77" s="13"/>
      <c r="H77" s="14"/>
      <c r="I77" s="81"/>
      <c r="J77" s="81"/>
      <c r="K77" s="13"/>
      <c r="L77" s="14"/>
      <c r="M77" s="10"/>
      <c r="N77" s="16"/>
      <c r="O77" s="13"/>
      <c r="P77" s="14"/>
      <c r="Q77" s="10"/>
      <c r="R77" s="19"/>
      <c r="S77" s="13"/>
      <c r="T77" s="14"/>
      <c r="U77" s="81"/>
      <c r="V77" s="81"/>
      <c r="W77" s="13"/>
      <c r="X77" s="14"/>
      <c r="Y77" s="10"/>
      <c r="Z77" s="16"/>
      <c r="AA77" s="13"/>
      <c r="AB77" s="14"/>
      <c r="AC77" s="10"/>
      <c r="AD77" s="19"/>
      <c r="AF77" s="180"/>
    </row>
    <row r="78" spans="1:32" x14ac:dyDescent="0.3">
      <c r="A78" s="180"/>
      <c r="B78" s="102" t="s">
        <v>180</v>
      </c>
      <c r="D78" s="3" t="s">
        <v>40</v>
      </c>
      <c r="E78" s="107">
        <v>210004256046</v>
      </c>
      <c r="F78" s="72">
        <v>64152782</v>
      </c>
      <c r="G78" s="9"/>
      <c r="H78" s="14"/>
      <c r="I78" s="10"/>
      <c r="J78" s="16"/>
      <c r="K78" s="13"/>
      <c r="L78" s="149"/>
      <c r="M78" s="10"/>
      <c r="N78" s="16"/>
      <c r="O78" s="13"/>
      <c r="P78" s="14"/>
      <c r="Q78" s="10"/>
      <c r="R78" s="19"/>
      <c r="S78" s="13"/>
      <c r="T78" s="14"/>
      <c r="U78" s="81"/>
      <c r="V78" s="81"/>
      <c r="W78" s="13"/>
      <c r="X78" s="14"/>
      <c r="Y78" s="10"/>
      <c r="Z78" s="16"/>
      <c r="AA78" s="13"/>
      <c r="AB78" s="14"/>
      <c r="AC78" s="10"/>
      <c r="AD78" s="19"/>
      <c r="AF78" s="180"/>
    </row>
    <row r="79" spans="1:32" x14ac:dyDescent="0.3">
      <c r="A79" s="180"/>
      <c r="B79" s="102" t="s">
        <v>181</v>
      </c>
      <c r="D79" s="3" t="s">
        <v>40</v>
      </c>
      <c r="E79" s="116">
        <v>210055561258</v>
      </c>
      <c r="F79" s="118">
        <v>27817713</v>
      </c>
      <c r="G79" s="13"/>
      <c r="H79" s="14"/>
      <c r="I79" s="81"/>
      <c r="J79" s="81"/>
      <c r="K79" s="13"/>
      <c r="L79" s="14"/>
      <c r="M79" s="10"/>
      <c r="N79" s="16"/>
      <c r="O79" s="13"/>
      <c r="P79" s="14"/>
      <c r="Q79" s="10"/>
      <c r="R79" s="19"/>
      <c r="S79" s="13"/>
      <c r="T79" s="14"/>
      <c r="U79" s="81"/>
      <c r="V79" s="81"/>
      <c r="W79" s="13"/>
      <c r="X79" s="14"/>
      <c r="Y79" s="10"/>
      <c r="Z79" s="16"/>
      <c r="AA79" s="13"/>
      <c r="AB79" s="14"/>
      <c r="AC79" s="10"/>
      <c r="AD79" s="19"/>
      <c r="AF79" s="180"/>
    </row>
    <row r="80" spans="1:32" x14ac:dyDescent="0.3">
      <c r="A80" s="180"/>
      <c r="B80" s="34" t="s">
        <v>182</v>
      </c>
      <c r="C80" s="3" t="s">
        <v>183</v>
      </c>
      <c r="D80" s="3" t="s">
        <v>40</v>
      </c>
      <c r="E80" s="116">
        <v>210039229729</v>
      </c>
      <c r="F80" s="107">
        <v>28343228</v>
      </c>
      <c r="G80" s="13"/>
      <c r="H80" s="14"/>
      <c r="I80" s="81"/>
      <c r="J80" s="81"/>
      <c r="K80" s="12"/>
      <c r="L80" s="14"/>
      <c r="M80" s="10"/>
      <c r="N80" s="16"/>
      <c r="O80" s="13"/>
      <c r="P80" s="18"/>
      <c r="Q80" s="10"/>
      <c r="R80" s="16"/>
      <c r="S80" s="13"/>
      <c r="T80" s="14"/>
      <c r="U80" s="82"/>
      <c r="V80" s="81"/>
      <c r="W80" s="13"/>
      <c r="X80" s="14"/>
      <c r="Y80" s="10"/>
      <c r="Z80" s="16"/>
      <c r="AA80" s="13"/>
      <c r="AB80" s="14"/>
      <c r="AC80" s="10"/>
      <c r="AD80" s="19"/>
      <c r="AF80" s="180"/>
    </row>
    <row r="81" spans="1:45" x14ac:dyDescent="0.3">
      <c r="A81" s="180"/>
      <c r="B81" s="34" t="s">
        <v>184</v>
      </c>
      <c r="C81" s="3" t="s">
        <v>185</v>
      </c>
      <c r="D81" s="3" t="s">
        <v>40</v>
      </c>
      <c r="E81" s="116">
        <v>210004082016</v>
      </c>
      <c r="F81" s="4" t="s">
        <v>186</v>
      </c>
      <c r="G81" s="9"/>
      <c r="H81" s="14"/>
      <c r="I81" s="10"/>
      <c r="J81" s="16"/>
      <c r="K81" s="13"/>
      <c r="L81" s="14"/>
      <c r="M81" s="10"/>
      <c r="N81" s="16"/>
      <c r="O81" s="13"/>
      <c r="P81" s="14"/>
      <c r="Q81" s="10"/>
      <c r="R81" s="19"/>
      <c r="S81" s="13"/>
      <c r="T81" s="14"/>
      <c r="U81" s="81"/>
      <c r="V81" s="81"/>
      <c r="W81" s="13"/>
      <c r="X81" s="14"/>
      <c r="Y81" s="10"/>
      <c r="Z81" s="16"/>
      <c r="AA81" s="13"/>
      <c r="AB81" s="14"/>
      <c r="AC81" s="10"/>
      <c r="AD81" s="19"/>
      <c r="AF81" s="180"/>
    </row>
    <row r="82" spans="1:45" x14ac:dyDescent="0.3">
      <c r="A82" s="180"/>
      <c r="B82" s="34" t="s">
        <v>187</v>
      </c>
      <c r="C82" s="3" t="s">
        <v>188</v>
      </c>
      <c r="D82" s="3" t="s">
        <v>40</v>
      </c>
      <c r="E82" s="116">
        <v>210004257605</v>
      </c>
      <c r="F82" s="4" t="s">
        <v>189</v>
      </c>
      <c r="G82" s="9"/>
      <c r="H82" s="14"/>
      <c r="I82" s="10"/>
      <c r="J82" s="16"/>
      <c r="K82" s="13"/>
      <c r="L82" s="14"/>
      <c r="M82" s="10"/>
      <c r="N82" s="16"/>
      <c r="O82" s="13"/>
      <c r="P82" s="14"/>
      <c r="Q82" s="10"/>
      <c r="R82" s="19"/>
      <c r="S82" s="13"/>
      <c r="T82" s="14"/>
      <c r="U82" s="81"/>
      <c r="V82" s="81"/>
      <c r="W82" s="13"/>
      <c r="X82" s="14"/>
      <c r="Y82" s="10"/>
      <c r="Z82" s="16"/>
      <c r="AA82" s="13"/>
      <c r="AB82" s="14"/>
      <c r="AC82" s="10"/>
      <c r="AD82" s="19"/>
      <c r="AF82" s="180"/>
    </row>
    <row r="83" spans="1:45" x14ac:dyDescent="0.3">
      <c r="A83" s="180"/>
      <c r="B83" s="34" t="s">
        <v>190</v>
      </c>
      <c r="C83" s="3" t="s">
        <v>191</v>
      </c>
      <c r="D83" s="3" t="s">
        <v>40</v>
      </c>
      <c r="E83" s="116">
        <v>210004256756</v>
      </c>
      <c r="F83" s="4">
        <v>27817546</v>
      </c>
      <c r="G83" s="10"/>
      <c r="H83" s="14"/>
      <c r="I83" s="82"/>
      <c r="J83" s="81"/>
      <c r="K83" s="12"/>
      <c r="L83" s="14"/>
      <c r="M83" s="10"/>
      <c r="N83" s="16"/>
      <c r="O83" s="13"/>
      <c r="P83" s="18"/>
      <c r="Q83" s="10"/>
      <c r="R83" s="16"/>
      <c r="S83" s="13"/>
      <c r="T83" s="14"/>
      <c r="U83" s="82"/>
      <c r="V83" s="81"/>
      <c r="W83" s="13"/>
      <c r="X83" s="14"/>
      <c r="Y83" s="10"/>
      <c r="Z83" s="16"/>
      <c r="AA83" s="13"/>
      <c r="AB83" s="14"/>
      <c r="AC83" s="10"/>
      <c r="AD83" s="19"/>
      <c r="AF83" s="180"/>
    </row>
    <row r="84" spans="1:45" x14ac:dyDescent="0.3">
      <c r="A84" s="180"/>
      <c r="B84" s="34" t="s">
        <v>192</v>
      </c>
      <c r="C84" s="3" t="s">
        <v>193</v>
      </c>
      <c r="D84" s="3" t="s">
        <v>40</v>
      </c>
      <c r="E84" s="116">
        <v>220026266194</v>
      </c>
      <c r="F84" s="4" t="s">
        <v>194</v>
      </c>
      <c r="G84" s="13"/>
      <c r="H84" s="14"/>
      <c r="I84" s="82"/>
      <c r="J84" s="81"/>
      <c r="K84" s="12"/>
      <c r="L84" s="14"/>
      <c r="M84" s="10"/>
      <c r="N84" s="16"/>
      <c r="O84" s="104"/>
      <c r="P84" s="18"/>
      <c r="Q84" s="10"/>
      <c r="R84" s="16"/>
      <c r="S84" s="13"/>
      <c r="T84" s="14"/>
      <c r="U84" s="82"/>
      <c r="V84" s="81"/>
      <c r="W84" s="13"/>
      <c r="X84" s="14"/>
      <c r="Y84" s="10"/>
      <c r="Z84" s="16"/>
      <c r="AA84" s="13"/>
      <c r="AB84" s="14"/>
      <c r="AC84" s="10"/>
      <c r="AD84" s="19"/>
      <c r="AF84" s="180"/>
    </row>
    <row r="85" spans="1:45" x14ac:dyDescent="0.3">
      <c r="A85" s="180"/>
      <c r="B85" s="34" t="s">
        <v>195</v>
      </c>
      <c r="C85" s="3" t="s">
        <v>196</v>
      </c>
      <c r="D85" s="3" t="s">
        <v>40</v>
      </c>
      <c r="E85" s="116">
        <v>210004256312</v>
      </c>
      <c r="F85" s="4">
        <v>27632569</v>
      </c>
      <c r="G85" s="13"/>
      <c r="H85" s="14"/>
      <c r="I85" s="82"/>
      <c r="J85" s="81"/>
      <c r="K85" s="13"/>
      <c r="L85" s="14"/>
      <c r="M85" s="10"/>
      <c r="N85" s="16"/>
      <c r="O85" s="13"/>
      <c r="P85" s="14"/>
      <c r="Q85" s="10"/>
      <c r="R85" s="19"/>
      <c r="S85" s="13"/>
      <c r="T85" s="14"/>
      <c r="U85" s="82"/>
      <c r="V85" s="81"/>
      <c r="W85" s="13"/>
      <c r="X85" s="14"/>
      <c r="Y85" s="10"/>
      <c r="Z85" s="16"/>
      <c r="AA85" s="13"/>
      <c r="AB85" s="14"/>
      <c r="AC85" s="10"/>
      <c r="AD85" s="19"/>
      <c r="AF85" s="180"/>
    </row>
    <row r="86" spans="1:45" x14ac:dyDescent="0.3">
      <c r="A86" s="180"/>
      <c r="B86" s="34" t="s">
        <v>197</v>
      </c>
      <c r="C86" s="3" t="s">
        <v>183</v>
      </c>
      <c r="D86" s="3" t="s">
        <v>40</v>
      </c>
      <c r="E86" s="116">
        <v>210049052438</v>
      </c>
      <c r="F86" s="118" t="s">
        <v>198</v>
      </c>
      <c r="G86" s="13"/>
      <c r="H86" s="14"/>
      <c r="I86" s="82"/>
      <c r="J86" s="81"/>
      <c r="K86" s="13"/>
      <c r="L86" s="14"/>
      <c r="M86" s="10"/>
      <c r="N86" s="16"/>
      <c r="O86" s="13"/>
      <c r="P86" s="14"/>
      <c r="Q86" s="10"/>
      <c r="R86" s="19"/>
      <c r="S86" s="13"/>
      <c r="T86" s="14"/>
      <c r="U86" s="82"/>
      <c r="V86" s="81"/>
      <c r="W86" s="13"/>
      <c r="X86" s="14"/>
      <c r="Y86" s="10"/>
      <c r="Z86" s="16"/>
      <c r="AA86" s="13"/>
      <c r="AB86" s="14"/>
      <c r="AC86" s="10"/>
      <c r="AD86" s="19"/>
      <c r="AF86" s="180"/>
    </row>
    <row r="87" spans="1:45" x14ac:dyDescent="0.3">
      <c r="A87" s="180"/>
      <c r="B87" s="34" t="s">
        <v>199</v>
      </c>
      <c r="C87" s="3" t="s">
        <v>183</v>
      </c>
      <c r="D87" s="3" t="s">
        <v>40</v>
      </c>
      <c r="E87" s="116">
        <v>220026266187</v>
      </c>
      <c r="F87" s="118" t="s">
        <v>200</v>
      </c>
      <c r="G87" s="9"/>
      <c r="H87" s="15"/>
      <c r="I87" s="10"/>
      <c r="J87" s="16"/>
      <c r="K87" s="13"/>
      <c r="L87" s="14"/>
      <c r="M87" s="10"/>
      <c r="N87" s="16"/>
      <c r="O87" s="13"/>
      <c r="P87" s="14"/>
      <c r="Q87" s="10"/>
      <c r="R87" s="19"/>
      <c r="S87" s="13"/>
      <c r="T87" s="14"/>
      <c r="U87" s="82"/>
      <c r="V87" s="81"/>
      <c r="W87" s="13"/>
      <c r="X87" s="14"/>
      <c r="Y87" s="10"/>
      <c r="Z87" s="16"/>
      <c r="AA87" s="13"/>
      <c r="AB87" s="14"/>
      <c r="AC87" s="10"/>
      <c r="AD87" s="19"/>
      <c r="AF87" s="180"/>
    </row>
    <row r="88" spans="1:45" x14ac:dyDescent="0.3">
      <c r="A88" s="180"/>
      <c r="B88" s="34" t="s">
        <v>201</v>
      </c>
      <c r="C88" s="3" t="s">
        <v>202</v>
      </c>
      <c r="D88" s="3" t="s">
        <v>40</v>
      </c>
      <c r="E88" s="116">
        <v>210004255890</v>
      </c>
      <c r="F88" s="4" t="s">
        <v>203</v>
      </c>
      <c r="G88" s="9"/>
      <c r="H88" s="14"/>
      <c r="I88" s="10"/>
      <c r="J88" s="16"/>
      <c r="K88" s="13"/>
      <c r="L88" s="14"/>
      <c r="M88" s="10"/>
      <c r="N88" s="16"/>
      <c r="O88" s="13"/>
      <c r="P88" s="14"/>
      <c r="Q88" s="10"/>
      <c r="R88" s="19"/>
      <c r="S88" s="13"/>
      <c r="T88" s="14"/>
      <c r="U88" s="82"/>
      <c r="V88" s="81"/>
      <c r="W88" s="13"/>
      <c r="X88" s="14"/>
      <c r="Y88" s="10"/>
      <c r="Z88" s="16"/>
      <c r="AA88" s="13"/>
      <c r="AB88" s="14"/>
      <c r="AC88" s="10"/>
      <c r="AD88" s="19"/>
      <c r="AF88" s="180"/>
    </row>
    <row r="89" spans="1:45" x14ac:dyDescent="0.3">
      <c r="B89" s="34" t="s">
        <v>204</v>
      </c>
      <c r="C89" s="3" t="s">
        <v>205</v>
      </c>
      <c r="D89" s="3" t="s">
        <v>40</v>
      </c>
      <c r="E89" s="116">
        <v>210005936260</v>
      </c>
      <c r="F89" s="72">
        <v>27632570</v>
      </c>
      <c r="G89" s="9"/>
      <c r="H89" s="15"/>
      <c r="I89" s="10"/>
      <c r="J89" s="16"/>
      <c r="K89" s="12"/>
      <c r="L89" s="14"/>
      <c r="M89" s="10"/>
      <c r="N89" s="16"/>
      <c r="O89" s="13"/>
      <c r="P89" s="18"/>
      <c r="Q89" s="10"/>
      <c r="R89" s="16"/>
      <c r="S89" s="13"/>
      <c r="T89" s="14"/>
      <c r="U89" s="82"/>
      <c r="V89" s="81"/>
      <c r="W89" s="13"/>
      <c r="X89" s="14"/>
      <c r="Y89" s="10"/>
      <c r="Z89" s="16"/>
      <c r="AA89" s="13"/>
      <c r="AB89" s="14"/>
      <c r="AC89" s="10"/>
      <c r="AD89" s="19"/>
    </row>
    <row r="90" spans="1:45" x14ac:dyDescent="0.3">
      <c r="B90" s="172" t="s">
        <v>206</v>
      </c>
      <c r="C90" s="72" t="s">
        <v>207</v>
      </c>
      <c r="D90" s="3" t="s">
        <v>162</v>
      </c>
      <c r="E90" s="107">
        <v>210005789976</v>
      </c>
      <c r="F90" s="72">
        <v>97028379</v>
      </c>
      <c r="G90" s="9"/>
      <c r="H90" s="15"/>
      <c r="I90" s="10"/>
      <c r="J90" s="16"/>
      <c r="K90" s="12"/>
      <c r="L90" s="14"/>
      <c r="M90" s="10"/>
      <c r="N90" s="16"/>
      <c r="O90" s="13"/>
      <c r="P90" s="18"/>
      <c r="Q90" s="10"/>
      <c r="R90" s="16"/>
      <c r="S90" s="13"/>
      <c r="T90" s="14"/>
      <c r="U90" s="82"/>
      <c r="V90" s="81"/>
      <c r="W90" s="13"/>
      <c r="X90" s="14"/>
      <c r="Y90" s="10"/>
      <c r="Z90" s="16"/>
      <c r="AA90" s="13"/>
      <c r="AB90" s="14"/>
      <c r="AC90" s="10"/>
      <c r="AD90" s="19"/>
    </row>
    <row r="91" spans="1:45" ht="17.25" customHeight="1" x14ac:dyDescent="0.3">
      <c r="A91" s="21"/>
      <c r="B91" s="172" t="s">
        <v>206</v>
      </c>
      <c r="C91" s="72" t="s">
        <v>208</v>
      </c>
      <c r="D91" s="3" t="s">
        <v>162</v>
      </c>
      <c r="E91" s="107">
        <v>210005789976</v>
      </c>
      <c r="F91" s="72">
        <v>27318786</v>
      </c>
      <c r="G91" s="30"/>
      <c r="H91" s="80"/>
      <c r="I91" s="30"/>
      <c r="J91" s="80"/>
      <c r="K91" s="12"/>
      <c r="L91" s="14"/>
      <c r="M91" s="10"/>
      <c r="N91" s="16"/>
      <c r="O91" s="13"/>
      <c r="P91" s="18"/>
      <c r="Q91" s="10"/>
      <c r="R91" s="16"/>
      <c r="S91" s="13"/>
      <c r="T91" s="14"/>
      <c r="U91" s="82"/>
      <c r="V91" s="81"/>
      <c r="W91" s="13"/>
      <c r="X91" s="14"/>
      <c r="Y91" s="10"/>
      <c r="Z91" s="16"/>
      <c r="AA91" s="13"/>
      <c r="AB91" s="14"/>
      <c r="AC91" s="10"/>
      <c r="AD91" s="19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</row>
    <row r="92" spans="1:45" ht="17.25" customHeight="1" x14ac:dyDescent="0.3">
      <c r="A92" s="21"/>
      <c r="B92" s="172" t="s">
        <v>206</v>
      </c>
      <c r="C92" s="72" t="s">
        <v>209</v>
      </c>
      <c r="D92" s="3" t="s">
        <v>162</v>
      </c>
      <c r="E92" s="107">
        <v>210005789976</v>
      </c>
      <c r="F92" s="72">
        <v>97028420</v>
      </c>
      <c r="K92" s="12"/>
      <c r="L92" s="14"/>
      <c r="M92" s="10"/>
      <c r="N92" s="16"/>
      <c r="O92" s="13"/>
      <c r="P92" s="18"/>
      <c r="Q92" s="10"/>
      <c r="R92" s="16"/>
      <c r="S92" s="13"/>
      <c r="T92" s="14"/>
      <c r="U92" s="81"/>
      <c r="V92" s="81"/>
      <c r="W92" s="13"/>
      <c r="X92" s="14"/>
      <c r="Y92" s="10"/>
      <c r="Z92" s="16"/>
      <c r="AA92" s="13"/>
      <c r="AB92" s="14"/>
      <c r="AC92" s="10"/>
      <c r="AD92" s="19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</row>
    <row r="93" spans="1:45" ht="17.25" customHeight="1" x14ac:dyDescent="0.3">
      <c r="A93" s="21"/>
      <c r="B93" s="172" t="s">
        <v>206</v>
      </c>
      <c r="C93" s="72" t="s">
        <v>210</v>
      </c>
      <c r="D93" s="3" t="s">
        <v>162</v>
      </c>
      <c r="E93" s="107">
        <v>210005789976</v>
      </c>
      <c r="F93" s="72">
        <v>97028384</v>
      </c>
      <c r="K93" s="30"/>
      <c r="L93" s="80"/>
      <c r="M93" s="30"/>
      <c r="N93" s="80"/>
      <c r="O93" s="30"/>
      <c r="P93" s="80"/>
      <c r="Q93" s="30"/>
      <c r="R93" s="80"/>
      <c r="S93" s="30"/>
      <c r="T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</row>
    <row r="94" spans="1:45" ht="17.25" customHeight="1" x14ac:dyDescent="0.3">
      <c r="A94" s="21"/>
      <c r="B94" s="172" t="s">
        <v>206</v>
      </c>
      <c r="C94" s="72" t="s">
        <v>211</v>
      </c>
      <c r="D94" s="3" t="s">
        <v>162</v>
      </c>
      <c r="E94" s="107">
        <v>210005789976</v>
      </c>
      <c r="F94" s="72">
        <v>97028417</v>
      </c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</row>
    <row r="95" spans="1:45" ht="17.25" customHeight="1" x14ac:dyDescent="0.3">
      <c r="A95" s="21"/>
      <c r="B95" s="172" t="s">
        <v>206</v>
      </c>
      <c r="C95" s="72" t="s">
        <v>212</v>
      </c>
      <c r="D95" s="3" t="s">
        <v>162</v>
      </c>
      <c r="E95" s="107">
        <v>210005789976</v>
      </c>
      <c r="F95" s="72">
        <v>97028390</v>
      </c>
      <c r="J95" s="102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</row>
    <row r="96" spans="1:45" ht="17.25" customHeight="1" x14ac:dyDescent="0.3">
      <c r="A96" s="21"/>
      <c r="B96" s="173" t="s">
        <v>206</v>
      </c>
      <c r="C96" s="72" t="s">
        <v>213</v>
      </c>
      <c r="D96" s="3" t="s">
        <v>162</v>
      </c>
      <c r="E96" s="107">
        <v>210005789976</v>
      </c>
      <c r="F96" s="72">
        <v>97028288</v>
      </c>
      <c r="H96" s="102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</row>
    <row r="97" spans="1:45" ht="17.25" customHeight="1" x14ac:dyDescent="0.3">
      <c r="A97" s="21"/>
      <c r="B97" s="173" t="s">
        <v>206</v>
      </c>
      <c r="C97" s="72" t="s">
        <v>214</v>
      </c>
      <c r="D97" s="3" t="s">
        <v>162</v>
      </c>
      <c r="E97" s="107">
        <v>210005789976</v>
      </c>
      <c r="F97" s="72">
        <v>97028424</v>
      </c>
      <c r="H97" s="102"/>
      <c r="J97" s="102"/>
      <c r="L97" s="102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</row>
    <row r="98" spans="1:45" ht="18.75" customHeight="1" x14ac:dyDescent="0.3">
      <c r="A98" s="21"/>
      <c r="B98" s="173" t="s">
        <v>206</v>
      </c>
      <c r="C98" s="72" t="s">
        <v>215</v>
      </c>
      <c r="D98" s="3" t="s">
        <v>216</v>
      </c>
      <c r="E98" s="107">
        <v>210005789976</v>
      </c>
      <c r="F98" s="72">
        <v>97028386</v>
      </c>
      <c r="H98" s="102"/>
      <c r="J98" s="102"/>
      <c r="L98" s="102"/>
      <c r="N98" s="102"/>
      <c r="P98" s="102"/>
      <c r="R98" s="102"/>
      <c r="T98" s="102"/>
      <c r="V98" s="110"/>
      <c r="X98" s="102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</row>
    <row r="99" spans="1:45" ht="18.75" customHeight="1" x14ac:dyDescent="0.3">
      <c r="A99" s="21"/>
      <c r="B99" s="173" t="s">
        <v>206</v>
      </c>
      <c r="C99" s="72" t="s">
        <v>217</v>
      </c>
      <c r="D99" s="3" t="s">
        <v>216</v>
      </c>
      <c r="E99" s="107">
        <v>210005789976</v>
      </c>
      <c r="F99" s="72">
        <v>97028402</v>
      </c>
      <c r="H99" s="102"/>
      <c r="J99" s="102"/>
      <c r="L99" s="102"/>
      <c r="N99" s="102"/>
      <c r="P99" s="102"/>
      <c r="R99" s="102"/>
      <c r="T99" s="102"/>
      <c r="V99" s="110"/>
      <c r="X99" s="102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</row>
    <row r="100" spans="1:45" ht="18.75" customHeight="1" x14ac:dyDescent="0.3">
      <c r="A100" s="21"/>
      <c r="B100" s="173" t="s">
        <v>206</v>
      </c>
      <c r="C100" s="72" t="s">
        <v>218</v>
      </c>
      <c r="D100" s="3" t="s">
        <v>216</v>
      </c>
      <c r="E100" s="107">
        <v>210005789976</v>
      </c>
      <c r="F100" s="72">
        <v>97028380</v>
      </c>
      <c r="H100" s="102"/>
      <c r="J100" s="102"/>
      <c r="L100" s="102"/>
      <c r="N100" s="102"/>
      <c r="P100" s="102"/>
      <c r="R100" s="102"/>
      <c r="T100" s="102"/>
      <c r="V100" s="110"/>
      <c r="X100" s="102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</row>
    <row r="101" spans="1:45" ht="18.75" customHeight="1" x14ac:dyDescent="0.3">
      <c r="A101" s="21"/>
      <c r="B101" s="173" t="s">
        <v>206</v>
      </c>
      <c r="C101" s="72" t="s">
        <v>219</v>
      </c>
      <c r="D101" s="3" t="s">
        <v>216</v>
      </c>
      <c r="E101" s="107">
        <v>210005789976</v>
      </c>
      <c r="F101" s="72">
        <v>97028411</v>
      </c>
      <c r="H101" s="102"/>
      <c r="J101" s="102"/>
      <c r="L101" s="102"/>
      <c r="N101" s="102"/>
      <c r="P101" s="102"/>
      <c r="R101" s="102"/>
      <c r="T101" s="102"/>
      <c r="V101" s="110"/>
      <c r="X101" s="102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</row>
    <row r="102" spans="1:45" ht="18.75" customHeight="1" x14ac:dyDescent="0.3">
      <c r="A102" s="21"/>
      <c r="B102" s="174" t="s">
        <v>206</v>
      </c>
      <c r="C102" s="72" t="s">
        <v>220</v>
      </c>
      <c r="D102" s="3" t="s">
        <v>40</v>
      </c>
      <c r="E102" s="107">
        <v>210005789976</v>
      </c>
      <c r="F102" s="72">
        <v>97028423</v>
      </c>
      <c r="G102" s="13"/>
      <c r="H102" s="14"/>
      <c r="I102" s="82"/>
      <c r="J102" s="81"/>
      <c r="K102" s="13"/>
      <c r="L102" s="14"/>
      <c r="N102" s="102"/>
      <c r="P102" s="102"/>
      <c r="R102" s="102"/>
      <c r="T102" s="102"/>
      <c r="V102" s="110"/>
      <c r="X102" s="102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</row>
    <row r="103" spans="1:45" ht="18.75" customHeight="1" x14ac:dyDescent="0.3">
      <c r="A103" s="21"/>
      <c r="B103" s="174" t="s">
        <v>206</v>
      </c>
      <c r="C103" s="72" t="s">
        <v>221</v>
      </c>
      <c r="D103" s="3" t="s">
        <v>40</v>
      </c>
      <c r="E103" s="107">
        <v>210005789976</v>
      </c>
      <c r="F103" s="72">
        <v>27699915</v>
      </c>
      <c r="G103" s="13"/>
      <c r="H103" s="14"/>
      <c r="I103" s="82"/>
      <c r="J103" s="81"/>
      <c r="K103" s="13"/>
      <c r="L103" s="14"/>
      <c r="N103" s="102"/>
      <c r="P103" s="102"/>
      <c r="R103" s="102"/>
      <c r="T103" s="102"/>
      <c r="V103" s="110"/>
      <c r="X103" s="102"/>
    </row>
    <row r="104" spans="1:45" ht="18.75" customHeight="1" x14ac:dyDescent="0.3">
      <c r="A104" s="21"/>
      <c r="B104" s="174" t="s">
        <v>206</v>
      </c>
      <c r="C104" s="72" t="s">
        <v>222</v>
      </c>
      <c r="D104" s="3" t="s">
        <v>40</v>
      </c>
      <c r="E104" s="107">
        <v>210005789976</v>
      </c>
      <c r="F104" s="72">
        <v>27957311</v>
      </c>
      <c r="G104" s="13"/>
      <c r="H104" s="14"/>
      <c r="I104" s="82"/>
      <c r="J104" s="81"/>
      <c r="K104" s="13"/>
      <c r="L104" s="14"/>
      <c r="N104" s="102"/>
      <c r="P104" s="102"/>
      <c r="R104" s="102"/>
      <c r="T104" s="102"/>
      <c r="V104" s="110"/>
      <c r="X104" s="102"/>
    </row>
    <row r="105" spans="1:45" ht="18.75" customHeight="1" x14ac:dyDescent="0.3">
      <c r="A105" s="21"/>
      <c r="B105" s="174" t="s">
        <v>206</v>
      </c>
      <c r="C105" s="72" t="s">
        <v>223</v>
      </c>
      <c r="D105" s="3" t="s">
        <v>40</v>
      </c>
      <c r="E105" s="107">
        <v>210005789976</v>
      </c>
      <c r="F105" s="72">
        <v>97028400</v>
      </c>
      <c r="G105" s="13"/>
      <c r="H105" s="14"/>
      <c r="I105" s="81"/>
      <c r="J105" s="81"/>
      <c r="K105" s="13"/>
      <c r="L105" s="14"/>
      <c r="N105" s="102"/>
      <c r="P105" s="102"/>
      <c r="R105" s="102"/>
      <c r="T105" s="102"/>
      <c r="V105" s="110"/>
      <c r="X105" s="102"/>
    </row>
    <row r="106" spans="1:45" ht="18.75" customHeight="1" x14ac:dyDescent="0.3">
      <c r="A106" s="21"/>
      <c r="B106" s="174" t="s">
        <v>206</v>
      </c>
      <c r="C106" s="72" t="s">
        <v>224</v>
      </c>
      <c r="D106" s="3" t="s">
        <v>40</v>
      </c>
      <c r="E106" s="107">
        <v>210005789976</v>
      </c>
      <c r="F106" s="72">
        <v>97028415</v>
      </c>
      <c r="G106" s="13"/>
      <c r="H106" s="14"/>
      <c r="I106" s="82"/>
      <c r="J106" s="81"/>
      <c r="K106" s="13"/>
      <c r="L106" s="14"/>
      <c r="N106" s="102"/>
      <c r="P106" s="102"/>
      <c r="R106" s="102"/>
      <c r="T106" s="102"/>
      <c r="V106" s="102"/>
      <c r="X106" s="102"/>
    </row>
    <row r="107" spans="1:45" ht="18.75" customHeight="1" x14ac:dyDescent="0.3">
      <c r="A107" s="21"/>
      <c r="B107" s="174" t="s">
        <v>206</v>
      </c>
      <c r="C107" s="72" t="s">
        <v>225</v>
      </c>
      <c r="D107" s="3" t="s">
        <v>40</v>
      </c>
      <c r="E107" s="107">
        <v>210005789976</v>
      </c>
      <c r="F107" s="72">
        <v>97028376</v>
      </c>
      <c r="G107" s="13"/>
      <c r="H107" s="14"/>
      <c r="I107" s="82"/>
      <c r="J107" s="81"/>
      <c r="K107" s="13"/>
      <c r="L107" s="14"/>
      <c r="N107" s="102"/>
      <c r="P107" s="102"/>
      <c r="R107" s="102"/>
      <c r="T107" s="102"/>
      <c r="V107" s="110"/>
      <c r="X107" s="102"/>
    </row>
    <row r="108" spans="1:45" ht="18.75" customHeight="1" x14ac:dyDescent="0.3">
      <c r="A108" s="21"/>
      <c r="B108" s="174" t="s">
        <v>206</v>
      </c>
      <c r="C108" s="72" t="s">
        <v>226</v>
      </c>
      <c r="D108" s="3" t="s">
        <v>40</v>
      </c>
      <c r="E108" s="107">
        <v>210005789976</v>
      </c>
      <c r="F108" s="72">
        <v>97028399</v>
      </c>
      <c r="G108" s="13"/>
      <c r="H108" s="14"/>
      <c r="I108" s="82"/>
      <c r="J108" s="81"/>
      <c r="K108" s="13"/>
      <c r="L108" s="14"/>
      <c r="N108" s="102"/>
      <c r="P108" s="102"/>
      <c r="R108" s="102"/>
      <c r="T108" s="102"/>
      <c r="V108" s="110"/>
      <c r="X108" s="102"/>
    </row>
    <row r="109" spans="1:45" ht="18.75" customHeight="1" x14ac:dyDescent="0.3">
      <c r="A109" s="21"/>
      <c r="B109" t="s">
        <v>206</v>
      </c>
      <c r="C109" s="72" t="s">
        <v>227</v>
      </c>
      <c r="D109" s="3" t="s">
        <v>227</v>
      </c>
      <c r="E109" s="107">
        <v>210005789976</v>
      </c>
      <c r="F109" s="171">
        <v>97028389</v>
      </c>
      <c r="H109" s="102"/>
      <c r="J109" s="102"/>
      <c r="L109" s="102"/>
      <c r="N109" s="102"/>
      <c r="P109" s="102"/>
      <c r="R109" s="102"/>
      <c r="T109" s="102"/>
      <c r="V109" s="102"/>
      <c r="X109" s="102"/>
    </row>
    <row r="110" spans="1:45" ht="18.75" customHeight="1" x14ac:dyDescent="0.3">
      <c r="A110" s="21"/>
      <c r="C110" s="72"/>
      <c r="D110" s="3"/>
      <c r="E110" s="107"/>
      <c r="H110" s="102"/>
      <c r="J110" s="102"/>
      <c r="L110" s="102"/>
      <c r="N110" s="102"/>
      <c r="P110" s="102"/>
      <c r="R110" s="102"/>
      <c r="T110" s="102"/>
      <c r="V110" s="110"/>
      <c r="X110" s="102"/>
    </row>
    <row r="111" spans="1:45" ht="18.75" customHeight="1" x14ac:dyDescent="0.3">
      <c r="A111" s="21"/>
      <c r="C111" s="72"/>
      <c r="D111" s="3"/>
      <c r="E111" s="107"/>
      <c r="H111" s="102"/>
      <c r="J111" s="102"/>
      <c r="L111" s="102"/>
      <c r="N111" s="102"/>
      <c r="P111" s="102"/>
      <c r="R111" s="102"/>
      <c r="T111" s="102"/>
      <c r="V111" s="110"/>
      <c r="X111" s="102"/>
    </row>
    <row r="112" spans="1:45" ht="18.75" customHeight="1" x14ac:dyDescent="0.3">
      <c r="A112" s="21"/>
      <c r="C112" s="72"/>
      <c r="D112" s="3"/>
      <c r="E112" s="107"/>
      <c r="H112" s="102"/>
      <c r="J112" s="102"/>
      <c r="L112" s="102"/>
      <c r="N112" s="102"/>
      <c r="P112" s="102"/>
      <c r="R112" s="102"/>
      <c r="T112" s="102"/>
      <c r="V112" s="102"/>
      <c r="X112" s="102"/>
    </row>
    <row r="113" spans="1:26" ht="18.75" customHeight="1" x14ac:dyDescent="0.3">
      <c r="A113" s="21"/>
      <c r="C113" s="72"/>
      <c r="D113" s="3"/>
      <c r="E113" s="107"/>
      <c r="H113" s="102"/>
      <c r="J113" s="102"/>
      <c r="L113" s="102"/>
      <c r="N113" s="102"/>
      <c r="P113" s="102"/>
      <c r="R113" s="102"/>
      <c r="T113" s="102"/>
      <c r="V113" s="110"/>
      <c r="X113" s="102"/>
    </row>
    <row r="114" spans="1:26" ht="18.75" customHeight="1" x14ac:dyDescent="0.3">
      <c r="A114" s="21"/>
      <c r="C114" s="72"/>
      <c r="D114" s="3"/>
      <c r="E114" s="107"/>
      <c r="H114" s="102"/>
      <c r="J114" s="102"/>
      <c r="K114" s="102"/>
      <c r="L114" s="102"/>
      <c r="M114" s="102"/>
      <c r="N114" s="102"/>
      <c r="P114" s="102"/>
      <c r="R114" s="102"/>
      <c r="T114" s="102"/>
      <c r="V114" s="102"/>
      <c r="X114" s="102"/>
      <c r="Z114" s="102"/>
    </row>
    <row r="115" spans="1:26" ht="19.5" customHeight="1" x14ac:dyDescent="0.3">
      <c r="A115" s="21"/>
    </row>
    <row r="116" spans="1:26" x14ac:dyDescent="0.3">
      <c r="A116" s="21"/>
      <c r="E116" s="107"/>
      <c r="F116" s="102"/>
    </row>
    <row r="117" spans="1:26" x14ac:dyDescent="0.3">
      <c r="A117" s="21"/>
    </row>
    <row r="118" spans="1:26" x14ac:dyDescent="0.3">
      <c r="A118" s="21"/>
    </row>
    <row r="119" spans="1:26" x14ac:dyDescent="0.3">
      <c r="A119" s="21"/>
    </row>
    <row r="120" spans="1:26" x14ac:dyDescent="0.3">
      <c r="A120" s="21"/>
    </row>
    <row r="121" spans="1:26" x14ac:dyDescent="0.3">
      <c r="A121" s="21"/>
    </row>
    <row r="122" spans="1:26" x14ac:dyDescent="0.3">
      <c r="A122" s="21"/>
    </row>
    <row r="123" spans="1:26" x14ac:dyDescent="0.3">
      <c r="A123" s="21"/>
    </row>
    <row r="124" spans="1:26" x14ac:dyDescent="0.3">
      <c r="A124" s="21"/>
    </row>
    <row r="125" spans="1:26" x14ac:dyDescent="0.3">
      <c r="A125" s="21"/>
    </row>
    <row r="126" spans="1:26" x14ac:dyDescent="0.3">
      <c r="A126" s="21"/>
    </row>
    <row r="127" spans="1:26" x14ac:dyDescent="0.3">
      <c r="A127" s="21"/>
    </row>
    <row r="128" spans="1:26" x14ac:dyDescent="0.3">
      <c r="A128" s="21"/>
    </row>
    <row r="129" spans="1:1" x14ac:dyDescent="0.3">
      <c r="A129" s="21"/>
    </row>
    <row r="130" spans="1:1" x14ac:dyDescent="0.3">
      <c r="A130" s="21"/>
    </row>
    <row r="131" spans="1:1" x14ac:dyDescent="0.3">
      <c r="A131" s="21"/>
    </row>
    <row r="132" spans="1:1" x14ac:dyDescent="0.3">
      <c r="A132" s="21"/>
    </row>
    <row r="133" spans="1:1" x14ac:dyDescent="0.3">
      <c r="A133" s="21"/>
    </row>
    <row r="134" spans="1:1" x14ac:dyDescent="0.3">
      <c r="A134" s="21"/>
    </row>
    <row r="135" spans="1:1" x14ac:dyDescent="0.3">
      <c r="A135" s="21"/>
    </row>
    <row r="136" spans="1:1" x14ac:dyDescent="0.3">
      <c r="A136" s="21"/>
    </row>
    <row r="137" spans="1:1" x14ac:dyDescent="0.3">
      <c r="A137" s="21"/>
    </row>
    <row r="138" spans="1:1" x14ac:dyDescent="0.3">
      <c r="A138" s="21"/>
    </row>
  </sheetData>
  <autoFilter ref="D4:D88" xr:uid="{00000000-0009-0000-0000-000000000000}"/>
  <sortState xmlns:xlrd2="http://schemas.microsoft.com/office/spreadsheetml/2017/richdata2" ref="C98:F116">
    <sortCondition ref="C98:C116"/>
  </sortState>
  <mergeCells count="32">
    <mergeCell ref="AH4:AP4"/>
    <mergeCell ref="N4:N5"/>
    <mergeCell ref="A1:B1"/>
    <mergeCell ref="R4:R5"/>
    <mergeCell ref="D4:D5"/>
    <mergeCell ref="K4:K5"/>
    <mergeCell ref="AB4:AB5"/>
    <mergeCell ref="S4:S5"/>
    <mergeCell ref="U4:U5"/>
    <mergeCell ref="C4:C5"/>
    <mergeCell ref="W4:W5"/>
    <mergeCell ref="F4:F5"/>
    <mergeCell ref="P4:P5"/>
    <mergeCell ref="A4:A88"/>
    <mergeCell ref="Y4:Y5"/>
    <mergeCell ref="H4:H5"/>
    <mergeCell ref="B4:B5"/>
    <mergeCell ref="AF4:AF88"/>
    <mergeCell ref="X4:X5"/>
    <mergeCell ref="G4:G5"/>
    <mergeCell ref="I4:I5"/>
    <mergeCell ref="Z4:Z5"/>
    <mergeCell ref="O4:O5"/>
    <mergeCell ref="Q4:Q5"/>
    <mergeCell ref="AD4:AD5"/>
    <mergeCell ref="M4:M5"/>
    <mergeCell ref="AC4:AC5"/>
    <mergeCell ref="L4:L5"/>
    <mergeCell ref="T4:T5"/>
    <mergeCell ref="V4:V5"/>
    <mergeCell ref="J4:J5"/>
    <mergeCell ref="AA4:AA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2CF77-53C3-4596-BFD4-39A37748A19B}">
  <dimension ref="A1:I114"/>
  <sheetViews>
    <sheetView workbookViewId="0">
      <pane ySplit="1" topLeftCell="A23" activePane="bottomLeft" state="frozen"/>
      <selection pane="bottomLeft" activeCell="I26" sqref="I26"/>
    </sheetView>
  </sheetViews>
  <sheetFormatPr defaultRowHeight="15.6" x14ac:dyDescent="0.3"/>
  <cols>
    <col min="1" max="1" width="14.09765625" bestFit="1" customWidth="1"/>
    <col min="2" max="2" width="22.69921875" style="165" customWidth="1"/>
    <col min="3" max="3" width="18.59765625" style="165" customWidth="1"/>
    <col min="4" max="4" width="13.3984375" style="165" bestFit="1" customWidth="1"/>
    <col min="5" max="5" width="18.5" bestFit="1" customWidth="1"/>
  </cols>
  <sheetData>
    <row r="1" spans="1:9" x14ac:dyDescent="0.3">
      <c r="B1" s="165" t="s">
        <v>5</v>
      </c>
      <c r="C1" s="165" t="s">
        <v>228</v>
      </c>
      <c r="D1" s="165" t="s">
        <v>229</v>
      </c>
      <c r="E1" t="s">
        <v>230</v>
      </c>
    </row>
    <row r="2" spans="1:9" ht="28.8" x14ac:dyDescent="0.3">
      <c r="A2" s="202" t="s">
        <v>231</v>
      </c>
      <c r="B2" s="166" t="s">
        <v>232</v>
      </c>
      <c r="C2" s="165" t="s">
        <v>233</v>
      </c>
      <c r="D2" s="165">
        <v>28085019</v>
      </c>
      <c r="E2">
        <v>1</v>
      </c>
    </row>
    <row r="3" spans="1:9" ht="28.8" x14ac:dyDescent="0.3">
      <c r="A3" s="202"/>
      <c r="B3" s="166" t="s">
        <v>234</v>
      </c>
      <c r="C3" s="165" t="s">
        <v>235</v>
      </c>
      <c r="D3" s="165" t="s">
        <v>149</v>
      </c>
      <c r="E3">
        <v>1</v>
      </c>
    </row>
    <row r="4" spans="1:9" ht="30" customHeight="1" x14ac:dyDescent="0.3">
      <c r="A4" s="202"/>
      <c r="B4" s="205" t="s">
        <v>236</v>
      </c>
      <c r="C4" s="204" t="s">
        <v>237</v>
      </c>
      <c r="D4" s="168">
        <v>27318786</v>
      </c>
      <c r="E4">
        <v>1</v>
      </c>
      <c r="F4" s="206" t="s">
        <v>238</v>
      </c>
      <c r="G4" s="206"/>
      <c r="H4" s="206"/>
      <c r="I4" s="206"/>
    </row>
    <row r="5" spans="1:9" x14ac:dyDescent="0.3">
      <c r="A5" s="202"/>
      <c r="B5" s="205"/>
      <c r="C5" s="204"/>
      <c r="D5" s="168">
        <v>27699915</v>
      </c>
      <c r="E5">
        <v>1</v>
      </c>
    </row>
    <row r="6" spans="1:9" x14ac:dyDescent="0.3">
      <c r="A6" s="202"/>
      <c r="B6" s="205"/>
      <c r="C6" s="204"/>
      <c r="D6" s="168">
        <v>27957311</v>
      </c>
      <c r="E6">
        <v>1</v>
      </c>
    </row>
    <row r="7" spans="1:9" x14ac:dyDescent="0.3">
      <c r="A7" s="202"/>
      <c r="B7" s="205"/>
      <c r="C7" s="204"/>
      <c r="D7" s="168">
        <v>97028288</v>
      </c>
      <c r="E7">
        <v>1</v>
      </c>
    </row>
    <row r="8" spans="1:9" x14ac:dyDescent="0.3">
      <c r="A8" s="202"/>
      <c r="B8" s="205"/>
      <c r="C8" s="204"/>
      <c r="D8" s="168">
        <v>97028376</v>
      </c>
      <c r="E8">
        <v>1</v>
      </c>
    </row>
    <row r="9" spans="1:9" x14ac:dyDescent="0.3">
      <c r="A9" s="202"/>
      <c r="B9" s="205"/>
      <c r="C9" s="204"/>
      <c r="D9" s="168">
        <v>97028379</v>
      </c>
      <c r="E9">
        <v>1</v>
      </c>
    </row>
    <row r="10" spans="1:9" x14ac:dyDescent="0.3">
      <c r="A10" s="202"/>
      <c r="B10" s="205"/>
      <c r="C10" s="204"/>
      <c r="D10" s="168">
        <v>97028380</v>
      </c>
      <c r="E10">
        <v>1</v>
      </c>
    </row>
    <row r="11" spans="1:9" x14ac:dyDescent="0.3">
      <c r="A11" s="202"/>
      <c r="B11" s="205"/>
      <c r="C11" s="204"/>
      <c r="D11" s="168">
        <v>97028384</v>
      </c>
      <c r="E11">
        <v>1</v>
      </c>
    </row>
    <row r="12" spans="1:9" x14ac:dyDescent="0.3">
      <c r="A12" s="202"/>
      <c r="B12" s="205"/>
      <c r="C12" s="204"/>
      <c r="D12" s="168">
        <v>97028386</v>
      </c>
      <c r="E12">
        <v>1</v>
      </c>
    </row>
    <row r="13" spans="1:9" x14ac:dyDescent="0.3">
      <c r="A13" s="202"/>
      <c r="B13" s="205"/>
      <c r="C13" s="204"/>
      <c r="D13" s="168">
        <v>97028389</v>
      </c>
      <c r="E13">
        <v>1</v>
      </c>
    </row>
    <row r="14" spans="1:9" x14ac:dyDescent="0.3">
      <c r="A14" s="202"/>
      <c r="B14" s="205"/>
      <c r="C14" s="204"/>
      <c r="D14" s="168">
        <v>97028390</v>
      </c>
      <c r="E14">
        <v>1</v>
      </c>
    </row>
    <row r="15" spans="1:9" x14ac:dyDescent="0.3">
      <c r="A15" s="202"/>
      <c r="B15" s="205"/>
      <c r="C15" s="204"/>
      <c r="D15" s="168">
        <v>97028399</v>
      </c>
      <c r="E15">
        <v>1</v>
      </c>
    </row>
    <row r="16" spans="1:9" x14ac:dyDescent="0.3">
      <c r="A16" s="202"/>
      <c r="B16" s="205"/>
      <c r="C16" s="204"/>
      <c r="D16" s="168">
        <v>97028400</v>
      </c>
      <c r="E16">
        <v>1</v>
      </c>
    </row>
    <row r="17" spans="1:9" x14ac:dyDescent="0.3">
      <c r="A17" s="202"/>
      <c r="B17" s="205"/>
      <c r="C17" s="204"/>
      <c r="D17" s="168">
        <v>97028402</v>
      </c>
      <c r="E17">
        <v>1</v>
      </c>
    </row>
    <row r="18" spans="1:9" x14ac:dyDescent="0.3">
      <c r="A18" s="202"/>
      <c r="B18" s="205"/>
      <c r="C18" s="204"/>
      <c r="D18" s="168">
        <v>97028411</v>
      </c>
      <c r="E18">
        <v>1</v>
      </c>
    </row>
    <row r="19" spans="1:9" x14ac:dyDescent="0.3">
      <c r="A19" s="202"/>
      <c r="B19" s="205"/>
      <c r="C19" s="204"/>
      <c r="D19" s="168">
        <v>97028415</v>
      </c>
      <c r="E19">
        <v>1</v>
      </c>
    </row>
    <row r="20" spans="1:9" x14ac:dyDescent="0.3">
      <c r="A20" s="202"/>
      <c r="B20" s="205"/>
      <c r="C20" s="204"/>
      <c r="D20" s="168">
        <v>97028417</v>
      </c>
      <c r="E20">
        <v>1</v>
      </c>
    </row>
    <row r="21" spans="1:9" x14ac:dyDescent="0.3">
      <c r="A21" s="202"/>
      <c r="B21" s="205"/>
      <c r="C21" s="204"/>
      <c r="D21" s="168">
        <v>97028420</v>
      </c>
      <c r="E21">
        <v>1</v>
      </c>
    </row>
    <row r="22" spans="1:9" x14ac:dyDescent="0.3">
      <c r="A22" s="202"/>
      <c r="B22" s="205"/>
      <c r="C22" s="204"/>
      <c r="D22" s="168">
        <v>97028423</v>
      </c>
      <c r="E22">
        <v>1</v>
      </c>
    </row>
    <row r="23" spans="1:9" x14ac:dyDescent="0.3">
      <c r="A23" s="202"/>
      <c r="B23" s="205"/>
      <c r="C23" s="204"/>
      <c r="D23" s="168">
        <v>97028424</v>
      </c>
      <c r="E23">
        <v>1</v>
      </c>
    </row>
    <row r="24" spans="1:9" ht="45" customHeight="1" x14ac:dyDescent="0.3">
      <c r="A24" s="202"/>
      <c r="B24" s="205" t="s">
        <v>239</v>
      </c>
      <c r="C24" s="204" t="s">
        <v>240</v>
      </c>
      <c r="D24" s="165">
        <v>97028410</v>
      </c>
      <c r="E24">
        <v>1</v>
      </c>
    </row>
    <row r="25" spans="1:9" x14ac:dyDescent="0.3">
      <c r="A25" s="202"/>
      <c r="B25" s="205"/>
      <c r="C25" s="204"/>
      <c r="D25" s="165">
        <v>97028422</v>
      </c>
      <c r="E25">
        <v>1</v>
      </c>
    </row>
    <row r="26" spans="1:9" ht="28.8" x14ac:dyDescent="0.3">
      <c r="A26" s="202"/>
      <c r="B26" s="175" t="s">
        <v>241</v>
      </c>
      <c r="C26" t="s">
        <v>242</v>
      </c>
      <c r="D26">
        <v>97028407</v>
      </c>
      <c r="E26">
        <v>1</v>
      </c>
      <c r="I26" s="102">
        <v>210005865894</v>
      </c>
    </row>
    <row r="27" spans="1:9" ht="28.8" x14ac:dyDescent="0.3">
      <c r="A27" s="202"/>
      <c r="B27" s="164" t="s">
        <v>241</v>
      </c>
      <c r="C27" t="s">
        <v>243</v>
      </c>
      <c r="D27">
        <v>97028409</v>
      </c>
      <c r="E27">
        <v>1</v>
      </c>
    </row>
    <row r="28" spans="1:9" ht="43.2" x14ac:dyDescent="0.3">
      <c r="A28" s="202"/>
      <c r="B28" s="164" t="s">
        <v>244</v>
      </c>
      <c r="C28" t="s">
        <v>245</v>
      </c>
      <c r="D28" s="167"/>
      <c r="E28">
        <v>1</v>
      </c>
    </row>
    <row r="29" spans="1:9" ht="31.2" x14ac:dyDescent="0.3">
      <c r="A29" s="202"/>
      <c r="B29" s="169" t="s">
        <v>246</v>
      </c>
      <c r="C29" s="167" t="s">
        <v>247</v>
      </c>
      <c r="D29" s="167"/>
      <c r="E29">
        <v>1</v>
      </c>
    </row>
    <row r="30" spans="1:9" ht="43.2" x14ac:dyDescent="0.3">
      <c r="A30" s="202"/>
      <c r="B30" s="164" t="s">
        <v>248</v>
      </c>
      <c r="C30" s="170" t="s">
        <v>249</v>
      </c>
      <c r="D30" s="167"/>
      <c r="E30">
        <v>1</v>
      </c>
    </row>
    <row r="31" spans="1:9" ht="46.8" x14ac:dyDescent="0.3">
      <c r="A31" s="202"/>
      <c r="B31" s="169" t="s">
        <v>250</v>
      </c>
      <c r="C31" s="167" t="s">
        <v>251</v>
      </c>
      <c r="D31" s="167"/>
      <c r="E31">
        <v>1</v>
      </c>
    </row>
    <row r="32" spans="1:9" ht="28.8" x14ac:dyDescent="0.3">
      <c r="A32" s="202"/>
      <c r="B32" s="164" t="s">
        <v>252</v>
      </c>
      <c r="C32" s="170" t="s">
        <v>253</v>
      </c>
      <c r="D32" s="167"/>
      <c r="E32">
        <v>1</v>
      </c>
    </row>
    <row r="33" spans="1:5" ht="28.8" x14ac:dyDescent="0.3">
      <c r="A33" s="202"/>
      <c r="B33" s="164" t="s">
        <v>254</v>
      </c>
      <c r="C33" t="s">
        <v>255</v>
      </c>
      <c r="D33" s="165">
        <v>97028405</v>
      </c>
      <c r="E33">
        <v>1</v>
      </c>
    </row>
    <row r="34" spans="1:5" ht="46.8" x14ac:dyDescent="0.3">
      <c r="A34" s="202"/>
      <c r="B34" s="169" t="s">
        <v>241</v>
      </c>
      <c r="C34" t="s">
        <v>256</v>
      </c>
      <c r="D34" s="165">
        <v>97028412</v>
      </c>
      <c r="E34">
        <v>1</v>
      </c>
    </row>
    <row r="35" spans="1:5" ht="46.8" x14ac:dyDescent="0.3">
      <c r="A35" s="202"/>
      <c r="B35" s="169" t="s">
        <v>257</v>
      </c>
      <c r="C35" s="167" t="s">
        <v>258</v>
      </c>
      <c r="D35" s="167">
        <v>97028418</v>
      </c>
      <c r="E35">
        <v>1</v>
      </c>
    </row>
    <row r="36" spans="1:5" ht="31.2" x14ac:dyDescent="0.3">
      <c r="A36" s="202"/>
      <c r="B36" s="169" t="s">
        <v>259</v>
      </c>
      <c r="C36" s="167" t="s">
        <v>260</v>
      </c>
      <c r="D36" s="167">
        <v>27632610</v>
      </c>
      <c r="E36">
        <v>1</v>
      </c>
    </row>
    <row r="37" spans="1:5" ht="31.2" x14ac:dyDescent="0.3">
      <c r="A37" s="202"/>
      <c r="B37" s="169" t="s">
        <v>261</v>
      </c>
      <c r="C37" s="167" t="s">
        <v>262</v>
      </c>
      <c r="D37" s="167">
        <v>93934343</v>
      </c>
      <c r="E37">
        <v>1</v>
      </c>
    </row>
    <row r="38" spans="1:5" x14ac:dyDescent="0.3">
      <c r="A38" s="203" t="s">
        <v>263</v>
      </c>
      <c r="B38" s="165" t="s">
        <v>264</v>
      </c>
      <c r="C38" s="167">
        <v>210004257223</v>
      </c>
      <c r="D38" s="167" t="s">
        <v>103</v>
      </c>
      <c r="E38">
        <v>1</v>
      </c>
    </row>
    <row r="39" spans="1:5" x14ac:dyDescent="0.3">
      <c r="A39" s="203"/>
      <c r="B39" s="165" t="s">
        <v>265</v>
      </c>
      <c r="C39" s="167">
        <v>210004257315</v>
      </c>
      <c r="D39" s="167">
        <v>27654288</v>
      </c>
      <c r="E39">
        <v>1</v>
      </c>
    </row>
    <row r="40" spans="1:5" x14ac:dyDescent="0.3">
      <c r="A40" s="203"/>
      <c r="B40" s="165" t="s">
        <v>266</v>
      </c>
      <c r="C40" s="167">
        <v>210004257414</v>
      </c>
      <c r="D40" s="167">
        <v>28086940</v>
      </c>
      <c r="E40">
        <v>1</v>
      </c>
    </row>
    <row r="41" spans="1:5" x14ac:dyDescent="0.3">
      <c r="A41" s="203"/>
      <c r="B41" s="165" t="s">
        <v>267</v>
      </c>
      <c r="C41" s="167">
        <v>210004257704</v>
      </c>
      <c r="D41" s="167">
        <v>27817259</v>
      </c>
      <c r="E41">
        <v>1</v>
      </c>
    </row>
    <row r="42" spans="1:5" x14ac:dyDescent="0.3">
      <c r="A42" s="203"/>
      <c r="B42" s="165" t="s">
        <v>268</v>
      </c>
      <c r="C42" s="167">
        <v>210004257780</v>
      </c>
      <c r="D42" s="167" t="s">
        <v>115</v>
      </c>
      <c r="E42">
        <v>1</v>
      </c>
    </row>
    <row r="43" spans="1:5" x14ac:dyDescent="0.3">
      <c r="A43" s="203"/>
      <c r="B43" s="165" t="s">
        <v>269</v>
      </c>
      <c r="C43" s="167">
        <v>210004257889</v>
      </c>
      <c r="D43" s="167">
        <v>27957165</v>
      </c>
      <c r="E43">
        <v>1</v>
      </c>
    </row>
    <row r="44" spans="1:5" x14ac:dyDescent="0.3">
      <c r="A44" s="203"/>
      <c r="B44" s="165" t="s">
        <v>270</v>
      </c>
      <c r="C44" s="167">
        <v>210007568908</v>
      </c>
      <c r="D44" s="167">
        <v>27654657</v>
      </c>
      <c r="E44">
        <v>1</v>
      </c>
    </row>
    <row r="45" spans="1:5" x14ac:dyDescent="0.3">
      <c r="A45" s="203" t="s">
        <v>271</v>
      </c>
      <c r="B45" s="165" t="s">
        <v>272</v>
      </c>
      <c r="C45" s="167">
        <v>210004256138</v>
      </c>
      <c r="D45" s="167">
        <v>64409714</v>
      </c>
      <c r="E45">
        <v>1</v>
      </c>
    </row>
    <row r="46" spans="1:5" x14ac:dyDescent="0.3">
      <c r="A46" s="203"/>
      <c r="B46" s="165" t="s">
        <v>273</v>
      </c>
      <c r="C46" s="167">
        <v>210004256312</v>
      </c>
      <c r="D46" s="167">
        <v>27632569</v>
      </c>
      <c r="E46">
        <v>1</v>
      </c>
    </row>
    <row r="47" spans="1:5" x14ac:dyDescent="0.3">
      <c r="A47" s="203"/>
      <c r="B47" s="165" t="s">
        <v>274</v>
      </c>
      <c r="C47" s="167">
        <v>210004256756</v>
      </c>
      <c r="D47" s="167">
        <v>27817546</v>
      </c>
      <c r="E47">
        <v>1</v>
      </c>
    </row>
    <row r="48" spans="1:5" x14ac:dyDescent="0.3">
      <c r="A48" s="203" t="s">
        <v>275</v>
      </c>
      <c r="B48" s="165" t="s">
        <v>124</v>
      </c>
      <c r="C48" s="167">
        <v>210004255623</v>
      </c>
      <c r="D48" s="167">
        <v>63699265</v>
      </c>
      <c r="E48">
        <v>1</v>
      </c>
    </row>
    <row r="49" spans="1:5" x14ac:dyDescent="0.3">
      <c r="A49" s="203"/>
      <c r="B49" s="165" t="s">
        <v>276</v>
      </c>
      <c r="C49" s="167">
        <v>210004256213</v>
      </c>
      <c r="D49" s="167" t="s">
        <v>81</v>
      </c>
      <c r="E49">
        <v>1</v>
      </c>
    </row>
    <row r="50" spans="1:5" x14ac:dyDescent="0.3">
      <c r="A50" s="203" t="s">
        <v>277</v>
      </c>
      <c r="B50" s="165" t="s">
        <v>122</v>
      </c>
      <c r="C50" s="167">
        <v>210004200883</v>
      </c>
      <c r="D50" s="167">
        <v>27318788</v>
      </c>
      <c r="E50">
        <v>1</v>
      </c>
    </row>
    <row r="51" spans="1:5" x14ac:dyDescent="0.3">
      <c r="A51" s="203"/>
      <c r="B51" s="165" t="s">
        <v>145</v>
      </c>
      <c r="C51" s="167">
        <v>210004204403</v>
      </c>
      <c r="D51" s="167">
        <v>27654886</v>
      </c>
      <c r="E51">
        <v>1</v>
      </c>
    </row>
    <row r="52" spans="1:5" x14ac:dyDescent="0.3">
      <c r="A52" s="203"/>
      <c r="B52" s="165" t="s">
        <v>143</v>
      </c>
      <c r="C52" s="167">
        <v>210004204519</v>
      </c>
      <c r="D52" s="167">
        <v>27318790</v>
      </c>
      <c r="E52">
        <v>1</v>
      </c>
    </row>
    <row r="53" spans="1:5" x14ac:dyDescent="0.3">
      <c r="A53" s="203"/>
      <c r="B53" s="165" t="s">
        <v>141</v>
      </c>
      <c r="C53" s="167">
        <v>210004204786</v>
      </c>
      <c r="D53" s="167">
        <v>27632626</v>
      </c>
      <c r="E53">
        <v>1</v>
      </c>
    </row>
    <row r="54" spans="1:5" x14ac:dyDescent="0.3">
      <c r="A54" s="203"/>
      <c r="B54" s="165" t="s">
        <v>136</v>
      </c>
      <c r="C54" s="167">
        <v>210004255135</v>
      </c>
      <c r="D54" s="167">
        <v>27654962</v>
      </c>
      <c r="E54">
        <v>1</v>
      </c>
    </row>
    <row r="55" spans="1:5" x14ac:dyDescent="0.3">
      <c r="A55" s="203"/>
      <c r="B55" s="165" t="s">
        <v>133</v>
      </c>
      <c r="C55" s="167">
        <v>210004255227</v>
      </c>
      <c r="D55" s="167" t="s">
        <v>135</v>
      </c>
      <c r="E55">
        <v>1</v>
      </c>
    </row>
    <row r="56" spans="1:5" x14ac:dyDescent="0.3">
      <c r="A56" s="203"/>
      <c r="B56" s="165" t="s">
        <v>131</v>
      </c>
      <c r="C56" s="167">
        <v>210004255333</v>
      </c>
      <c r="D56" s="167">
        <v>28141686</v>
      </c>
      <c r="E56">
        <v>1</v>
      </c>
    </row>
    <row r="57" spans="1:5" x14ac:dyDescent="0.3">
      <c r="A57" s="203"/>
      <c r="B57" s="165" t="s">
        <v>278</v>
      </c>
      <c r="C57" s="167">
        <v>210004255425</v>
      </c>
      <c r="D57" s="167" t="s">
        <v>130</v>
      </c>
      <c r="E57">
        <v>1</v>
      </c>
    </row>
    <row r="58" spans="1:5" x14ac:dyDescent="0.3">
      <c r="A58" s="203"/>
      <c r="B58" s="165" t="s">
        <v>126</v>
      </c>
      <c r="C58" s="167">
        <v>210004255524</v>
      </c>
      <c r="D58" s="167">
        <v>27654641</v>
      </c>
      <c r="E58">
        <v>1</v>
      </c>
    </row>
    <row r="59" spans="1:5" x14ac:dyDescent="0.3">
      <c r="A59" s="203"/>
      <c r="B59" s="165" t="s">
        <v>279</v>
      </c>
      <c r="C59" s="167">
        <v>210004255890</v>
      </c>
      <c r="D59" s="167" t="s">
        <v>203</v>
      </c>
      <c r="E59">
        <v>1</v>
      </c>
    </row>
    <row r="60" spans="1:5" x14ac:dyDescent="0.3">
      <c r="A60" t="s">
        <v>280</v>
      </c>
      <c r="B60" s="165" t="s">
        <v>204</v>
      </c>
      <c r="C60" s="167">
        <v>220040645175</v>
      </c>
      <c r="D60" s="167">
        <v>93934346</v>
      </c>
      <c r="E60">
        <v>1</v>
      </c>
    </row>
    <row r="61" spans="1:5" x14ac:dyDescent="0.3">
      <c r="A61" s="203" t="s">
        <v>281</v>
      </c>
      <c r="B61" s="165" t="s">
        <v>282</v>
      </c>
      <c r="C61" s="167">
        <v>210005879954</v>
      </c>
      <c r="D61" s="167">
        <v>27318805</v>
      </c>
      <c r="E61">
        <v>1</v>
      </c>
    </row>
    <row r="62" spans="1:5" x14ac:dyDescent="0.3">
      <c r="A62" s="203"/>
      <c r="B62" s="165" t="s">
        <v>283</v>
      </c>
      <c r="C62" s="167">
        <v>210005935663</v>
      </c>
      <c r="D62" s="167">
        <v>27654467</v>
      </c>
      <c r="E62">
        <v>1</v>
      </c>
    </row>
    <row r="63" spans="1:5" x14ac:dyDescent="0.3">
      <c r="A63" s="203"/>
      <c r="B63" s="165" t="s">
        <v>204</v>
      </c>
      <c r="C63" s="167">
        <v>210005936260</v>
      </c>
      <c r="D63" s="167">
        <v>27632570</v>
      </c>
      <c r="E63">
        <v>1</v>
      </c>
    </row>
    <row r="64" spans="1:5" x14ac:dyDescent="0.3">
      <c r="A64" s="203"/>
      <c r="B64" s="165" t="s">
        <v>284</v>
      </c>
      <c r="C64" s="167">
        <v>220012670343</v>
      </c>
      <c r="D64" s="167">
        <v>27318553</v>
      </c>
      <c r="E64">
        <v>1</v>
      </c>
    </row>
    <row r="65" spans="1:5" x14ac:dyDescent="0.3">
      <c r="A65" s="203"/>
      <c r="B65" s="165" t="s">
        <v>285</v>
      </c>
      <c r="C65" s="167">
        <v>220012670350</v>
      </c>
      <c r="D65" s="167">
        <v>27817663</v>
      </c>
      <c r="E65">
        <v>1</v>
      </c>
    </row>
    <row r="66" spans="1:5" x14ac:dyDescent="0.3">
      <c r="A66" s="203"/>
      <c r="B66" s="165" t="s">
        <v>286</v>
      </c>
      <c r="C66" s="167">
        <v>220012670367</v>
      </c>
      <c r="D66" s="167">
        <v>27318554</v>
      </c>
      <c r="E66">
        <v>1</v>
      </c>
    </row>
    <row r="67" spans="1:5" x14ac:dyDescent="0.3">
      <c r="A67" s="203"/>
      <c r="B67" s="165" t="s">
        <v>287</v>
      </c>
      <c r="C67" s="167">
        <v>220012670374</v>
      </c>
      <c r="D67" s="167">
        <v>27817661</v>
      </c>
      <c r="E67">
        <v>1</v>
      </c>
    </row>
    <row r="68" spans="1:5" x14ac:dyDescent="0.3">
      <c r="A68" s="203"/>
      <c r="B68" s="165" t="s">
        <v>288</v>
      </c>
      <c r="C68" s="167">
        <v>220012670381</v>
      </c>
      <c r="D68" s="167">
        <v>27318518</v>
      </c>
      <c r="E68">
        <v>1</v>
      </c>
    </row>
    <row r="69" spans="1:5" x14ac:dyDescent="0.3">
      <c r="A69" s="203"/>
      <c r="B69" s="165" t="s">
        <v>289</v>
      </c>
      <c r="C69" s="167">
        <v>220012670398</v>
      </c>
      <c r="D69" s="167">
        <v>27817662</v>
      </c>
      <c r="E69">
        <v>1</v>
      </c>
    </row>
    <row r="70" spans="1:5" x14ac:dyDescent="0.3">
      <c r="A70" s="203"/>
      <c r="B70" s="165" t="s">
        <v>290</v>
      </c>
      <c r="C70" s="167">
        <v>220012670404</v>
      </c>
      <c r="D70" s="167">
        <v>64332341</v>
      </c>
      <c r="E70">
        <v>1</v>
      </c>
    </row>
    <row r="71" spans="1:5" x14ac:dyDescent="0.3">
      <c r="A71" s="203"/>
      <c r="B71" s="165" t="s">
        <v>291</v>
      </c>
      <c r="C71" s="167">
        <v>220012670428</v>
      </c>
      <c r="D71" s="167">
        <v>27318561</v>
      </c>
      <c r="E71">
        <v>1</v>
      </c>
    </row>
    <row r="72" spans="1:5" x14ac:dyDescent="0.3">
      <c r="A72" s="203"/>
      <c r="B72" s="165" t="s">
        <v>292</v>
      </c>
      <c r="C72" s="167">
        <v>220012670435</v>
      </c>
      <c r="D72" s="167">
        <v>27817659</v>
      </c>
      <c r="E72">
        <v>1</v>
      </c>
    </row>
    <row r="73" spans="1:5" x14ac:dyDescent="0.3">
      <c r="A73" s="203"/>
      <c r="B73" s="165" t="s">
        <v>293</v>
      </c>
      <c r="C73" s="167">
        <v>220025145348</v>
      </c>
      <c r="D73" s="167">
        <v>64574279</v>
      </c>
      <c r="E73">
        <v>1</v>
      </c>
    </row>
    <row r="74" spans="1:5" x14ac:dyDescent="0.3">
      <c r="A74" s="203"/>
      <c r="B74" s="165" t="s">
        <v>294</v>
      </c>
      <c r="C74" s="167">
        <v>220025145379</v>
      </c>
      <c r="D74" s="167">
        <v>27817759</v>
      </c>
      <c r="E74">
        <v>1</v>
      </c>
    </row>
    <row r="75" spans="1:5" x14ac:dyDescent="0.3">
      <c r="A75" s="203"/>
      <c r="B75" s="165" t="s">
        <v>295</v>
      </c>
      <c r="C75" s="167">
        <v>220025145423</v>
      </c>
      <c r="D75" s="167">
        <v>27318552</v>
      </c>
      <c r="E75">
        <v>1</v>
      </c>
    </row>
    <row r="76" spans="1:5" x14ac:dyDescent="0.3">
      <c r="A76" s="203"/>
      <c r="B76" s="165" t="s">
        <v>296</v>
      </c>
      <c r="C76" s="167">
        <v>220025145515</v>
      </c>
      <c r="D76" s="167">
        <v>27957362</v>
      </c>
      <c r="E76">
        <v>1</v>
      </c>
    </row>
    <row r="77" spans="1:5" x14ac:dyDescent="0.3">
      <c r="A77" s="203"/>
      <c r="B77" s="165" t="s">
        <v>297</v>
      </c>
      <c r="C77" s="167">
        <v>220025145522</v>
      </c>
      <c r="D77" s="167">
        <v>27817626</v>
      </c>
      <c r="E77">
        <v>1</v>
      </c>
    </row>
    <row r="78" spans="1:5" x14ac:dyDescent="0.3">
      <c r="A78" s="203"/>
      <c r="B78" s="165" t="s">
        <v>298</v>
      </c>
      <c r="C78" s="167">
        <v>220025145546</v>
      </c>
      <c r="D78" s="167">
        <v>27817622</v>
      </c>
      <c r="E78">
        <v>1</v>
      </c>
    </row>
    <row r="79" spans="1:5" x14ac:dyDescent="0.3">
      <c r="A79" s="203"/>
      <c r="B79" s="165" t="s">
        <v>299</v>
      </c>
      <c r="C79" s="167">
        <v>220025145560</v>
      </c>
      <c r="D79" s="167">
        <v>27817660</v>
      </c>
      <c r="E79">
        <v>1</v>
      </c>
    </row>
    <row r="80" spans="1:5" x14ac:dyDescent="0.3">
      <c r="A80" s="203"/>
      <c r="B80" s="165" t="s">
        <v>300</v>
      </c>
      <c r="C80" s="167">
        <v>220025145577</v>
      </c>
      <c r="D80" s="167">
        <v>27817658</v>
      </c>
      <c r="E80">
        <v>1</v>
      </c>
    </row>
    <row r="81" spans="1:5" x14ac:dyDescent="0.3">
      <c r="A81" s="203"/>
      <c r="B81" s="165" t="s">
        <v>301</v>
      </c>
      <c r="C81" s="167">
        <v>220025145591</v>
      </c>
      <c r="D81" s="167">
        <v>27817627</v>
      </c>
      <c r="E81">
        <v>1</v>
      </c>
    </row>
    <row r="82" spans="1:5" x14ac:dyDescent="0.3">
      <c r="A82" s="203" t="s">
        <v>302</v>
      </c>
      <c r="B82" s="165" t="s">
        <v>303</v>
      </c>
      <c r="C82" s="167">
        <v>210004080263</v>
      </c>
      <c r="D82" s="167">
        <v>64332582</v>
      </c>
      <c r="E82">
        <v>1</v>
      </c>
    </row>
    <row r="83" spans="1:5" x14ac:dyDescent="0.3">
      <c r="A83" s="203"/>
      <c r="B83" s="165" t="s">
        <v>304</v>
      </c>
      <c r="C83" s="167">
        <v>210004082016</v>
      </c>
      <c r="D83" s="167" t="s">
        <v>186</v>
      </c>
      <c r="E83">
        <v>1</v>
      </c>
    </row>
    <row r="84" spans="1:5" x14ac:dyDescent="0.3">
      <c r="A84" s="203"/>
      <c r="B84" s="165" t="s">
        <v>279</v>
      </c>
      <c r="C84" s="167">
        <v>210004256046</v>
      </c>
      <c r="D84" s="167">
        <v>64152782</v>
      </c>
      <c r="E84">
        <v>1</v>
      </c>
    </row>
    <row r="85" spans="1:5" x14ac:dyDescent="0.3">
      <c r="A85" s="203"/>
      <c r="B85" s="165" t="s">
        <v>305</v>
      </c>
      <c r="C85" s="167">
        <v>210004256473</v>
      </c>
      <c r="D85" s="167" t="s">
        <v>84</v>
      </c>
      <c r="E85">
        <v>1</v>
      </c>
    </row>
    <row r="86" spans="1:5" x14ac:dyDescent="0.3">
      <c r="A86" s="203"/>
      <c r="B86" s="165" t="s">
        <v>306</v>
      </c>
      <c r="C86" s="167">
        <v>210004256589</v>
      </c>
      <c r="D86" s="167">
        <v>27817257</v>
      </c>
      <c r="E86">
        <v>1</v>
      </c>
    </row>
    <row r="87" spans="1:5" x14ac:dyDescent="0.3">
      <c r="A87" s="203"/>
      <c r="B87" s="165" t="s">
        <v>307</v>
      </c>
      <c r="C87" s="167">
        <v>210004256688</v>
      </c>
      <c r="D87" s="167">
        <v>64262432</v>
      </c>
      <c r="E87">
        <v>1</v>
      </c>
    </row>
    <row r="88" spans="1:5" x14ac:dyDescent="0.3">
      <c r="A88" s="203"/>
      <c r="B88" s="165" t="s">
        <v>308</v>
      </c>
      <c r="C88" s="167">
        <v>210004256848</v>
      </c>
      <c r="D88" s="167">
        <v>27817214</v>
      </c>
      <c r="E88">
        <v>1</v>
      </c>
    </row>
    <row r="89" spans="1:5" x14ac:dyDescent="0.3">
      <c r="A89" s="203"/>
      <c r="B89" s="165" t="s">
        <v>309</v>
      </c>
      <c r="C89" s="167">
        <v>210004256947</v>
      </c>
      <c r="D89" s="167">
        <v>64409621</v>
      </c>
      <c r="E89">
        <v>1</v>
      </c>
    </row>
    <row r="90" spans="1:5" x14ac:dyDescent="0.3">
      <c r="A90" s="203"/>
      <c r="B90" s="165" t="s">
        <v>310</v>
      </c>
      <c r="C90" s="167">
        <v>210004257131</v>
      </c>
      <c r="D90" s="167" t="s">
        <v>100</v>
      </c>
      <c r="E90">
        <v>1</v>
      </c>
    </row>
    <row r="91" spans="1:5" x14ac:dyDescent="0.3">
      <c r="A91" s="203"/>
      <c r="B91" s="165" t="s">
        <v>311</v>
      </c>
      <c r="C91" s="167">
        <v>210004257605</v>
      </c>
      <c r="D91" s="167" t="s">
        <v>189</v>
      </c>
      <c r="E91">
        <v>1</v>
      </c>
    </row>
    <row r="92" spans="1:5" x14ac:dyDescent="0.3">
      <c r="A92" s="203"/>
      <c r="B92" s="165" t="s">
        <v>312</v>
      </c>
      <c r="C92" s="167">
        <v>210004259755</v>
      </c>
      <c r="D92" s="167">
        <v>27700200</v>
      </c>
      <c r="E92">
        <v>1</v>
      </c>
    </row>
    <row r="93" spans="1:5" x14ac:dyDescent="0.3">
      <c r="A93" s="203"/>
      <c r="B93" s="165" t="s">
        <v>313</v>
      </c>
      <c r="C93" s="167">
        <v>210005789884</v>
      </c>
      <c r="D93" s="167">
        <v>97028419</v>
      </c>
      <c r="E93">
        <v>1</v>
      </c>
    </row>
    <row r="94" spans="1:5" x14ac:dyDescent="0.3">
      <c r="A94" s="203"/>
      <c r="B94" s="165" t="s">
        <v>138</v>
      </c>
      <c r="C94" s="167">
        <v>210006663619</v>
      </c>
      <c r="D94" s="167" t="s">
        <v>140</v>
      </c>
      <c r="E94">
        <v>1</v>
      </c>
    </row>
    <row r="95" spans="1:5" x14ac:dyDescent="0.3">
      <c r="A95" s="203"/>
      <c r="B95" s="165" t="s">
        <v>314</v>
      </c>
      <c r="C95" s="167">
        <v>210007559171</v>
      </c>
      <c r="D95" s="167" t="s">
        <v>179</v>
      </c>
      <c r="E95">
        <v>1</v>
      </c>
    </row>
    <row r="96" spans="1:5" x14ac:dyDescent="0.3">
      <c r="A96" s="203"/>
      <c r="B96" s="165" t="s">
        <v>165</v>
      </c>
      <c r="C96" s="167">
        <v>210037997187</v>
      </c>
      <c r="D96" s="167">
        <v>27700315</v>
      </c>
      <c r="E96">
        <v>1</v>
      </c>
    </row>
    <row r="97" spans="1:5" x14ac:dyDescent="0.3">
      <c r="A97" s="203"/>
      <c r="B97" s="165" t="s">
        <v>315</v>
      </c>
      <c r="C97" s="167">
        <v>210039229729</v>
      </c>
      <c r="D97" s="167">
        <v>28343228</v>
      </c>
      <c r="E97">
        <v>1</v>
      </c>
    </row>
    <row r="98" spans="1:5" x14ac:dyDescent="0.3">
      <c r="A98" s="203"/>
      <c r="B98" s="165" t="s">
        <v>316</v>
      </c>
      <c r="C98" s="167">
        <v>210049052438</v>
      </c>
      <c r="D98" s="167" t="s">
        <v>198</v>
      </c>
      <c r="E98">
        <v>1</v>
      </c>
    </row>
    <row r="99" spans="1:5" x14ac:dyDescent="0.3">
      <c r="A99" s="203"/>
      <c r="B99" s="165" t="s">
        <v>317</v>
      </c>
      <c r="C99" s="167">
        <v>210055561258</v>
      </c>
      <c r="D99" s="167">
        <v>27817713</v>
      </c>
      <c r="E99">
        <v>1</v>
      </c>
    </row>
    <row r="100" spans="1:5" x14ac:dyDescent="0.3">
      <c r="A100" s="203"/>
      <c r="B100" s="165" t="s">
        <v>318</v>
      </c>
      <c r="C100" s="167">
        <v>220016710601</v>
      </c>
      <c r="D100" s="167">
        <v>64409665</v>
      </c>
      <c r="E100">
        <v>1</v>
      </c>
    </row>
    <row r="101" spans="1:5" x14ac:dyDescent="0.3">
      <c r="A101" s="203"/>
      <c r="B101" s="165" t="s">
        <v>319</v>
      </c>
      <c r="C101" s="167">
        <v>220019398499</v>
      </c>
      <c r="D101" s="167" t="s">
        <v>108</v>
      </c>
      <c r="E101">
        <v>1</v>
      </c>
    </row>
    <row r="102" spans="1:5" x14ac:dyDescent="0.3">
      <c r="A102" s="203"/>
      <c r="B102" s="165" t="s">
        <v>320</v>
      </c>
      <c r="C102" s="167">
        <v>220023855632</v>
      </c>
      <c r="D102" s="167">
        <v>64262433</v>
      </c>
      <c r="E102">
        <v>1</v>
      </c>
    </row>
    <row r="103" spans="1:5" x14ac:dyDescent="0.3">
      <c r="A103" s="203"/>
      <c r="B103" s="165" t="s">
        <v>321</v>
      </c>
      <c r="C103" s="167">
        <v>220026266187</v>
      </c>
      <c r="D103" s="167" t="s">
        <v>200</v>
      </c>
      <c r="E103">
        <v>1</v>
      </c>
    </row>
    <row r="104" spans="1:5" x14ac:dyDescent="0.3">
      <c r="A104" s="203"/>
      <c r="B104" s="165" t="s">
        <v>322</v>
      </c>
      <c r="C104" s="167">
        <v>220026266194</v>
      </c>
      <c r="D104" s="167" t="s">
        <v>194</v>
      </c>
      <c r="E104">
        <v>1</v>
      </c>
    </row>
    <row r="105" spans="1:5" x14ac:dyDescent="0.3">
      <c r="A105" s="203"/>
      <c r="B105" s="165" t="s">
        <v>323</v>
      </c>
      <c r="C105" s="167">
        <v>220031707512</v>
      </c>
      <c r="D105" s="167" t="s">
        <v>175</v>
      </c>
      <c r="E105">
        <v>1</v>
      </c>
    </row>
    <row r="106" spans="1:5" x14ac:dyDescent="0.3">
      <c r="C106" s="167"/>
      <c r="D106" s="167"/>
    </row>
    <row r="107" spans="1:5" x14ac:dyDescent="0.3">
      <c r="C107" s="167"/>
      <c r="D107" s="167"/>
    </row>
    <row r="108" spans="1:5" x14ac:dyDescent="0.3">
      <c r="C108" s="167"/>
      <c r="D108" s="167"/>
    </row>
    <row r="109" spans="1:5" x14ac:dyDescent="0.3">
      <c r="C109" s="167"/>
      <c r="D109" s="167"/>
    </row>
    <row r="110" spans="1:5" x14ac:dyDescent="0.3">
      <c r="C110" s="167"/>
      <c r="D110" s="167"/>
    </row>
    <row r="111" spans="1:5" x14ac:dyDescent="0.3">
      <c r="C111" s="167"/>
      <c r="D111" s="167"/>
    </row>
    <row r="112" spans="1:5" x14ac:dyDescent="0.3">
      <c r="C112" s="167"/>
      <c r="D112" s="167"/>
    </row>
    <row r="113" spans="3:4" x14ac:dyDescent="0.3">
      <c r="C113" s="167"/>
      <c r="D113" s="167"/>
    </row>
    <row r="114" spans="3:4" x14ac:dyDescent="0.3">
      <c r="C114" s="167"/>
      <c r="D114" s="167"/>
    </row>
  </sheetData>
  <mergeCells count="12">
    <mergeCell ref="C4:C23"/>
    <mergeCell ref="B4:B23"/>
    <mergeCell ref="C24:C25"/>
    <mergeCell ref="B24:B25"/>
    <mergeCell ref="F4:I4"/>
    <mergeCell ref="A2:A37"/>
    <mergeCell ref="A82:A105"/>
    <mergeCell ref="A38:A44"/>
    <mergeCell ref="A45:A47"/>
    <mergeCell ref="A48:A49"/>
    <mergeCell ref="A50:A59"/>
    <mergeCell ref="A61:A8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74"/>
  <sheetViews>
    <sheetView zoomScale="116" workbookViewId="0">
      <pane xSplit="2" ySplit="5" topLeftCell="D68" activePane="bottomRight" state="frozen"/>
      <selection pane="topRight"/>
      <selection pane="bottomLeft"/>
      <selection pane="bottomRight" activeCell="F6" sqref="F6:Q75"/>
    </sheetView>
  </sheetViews>
  <sheetFormatPr defaultColWidth="11" defaultRowHeight="15.6" x14ac:dyDescent="0.3"/>
  <cols>
    <col min="1" max="1" width="12.19921875" customWidth="1"/>
    <col min="2" max="2" width="36.69921875" customWidth="1"/>
    <col min="3" max="3" width="16.5" customWidth="1"/>
    <col min="4" max="4" width="17.8984375" customWidth="1"/>
    <col min="5" max="5" width="10.5" customWidth="1"/>
    <col min="6" max="6" width="15" style="126" customWidth="1"/>
    <col min="8" max="8" width="13.19921875" style="126" customWidth="1"/>
    <col min="9" max="9" width="11.3984375" customWidth="1"/>
    <col min="10" max="10" width="12.09765625" style="126" customWidth="1"/>
    <col min="12" max="12" width="13.09765625" customWidth="1"/>
    <col min="14" max="14" width="13" bestFit="1" customWidth="1"/>
    <col min="16" max="16" width="13" bestFit="1" customWidth="1"/>
    <col min="18" max="18" width="13" bestFit="1" customWidth="1"/>
    <col min="20" max="20" width="13" bestFit="1" customWidth="1"/>
    <col min="22" max="22" width="12" bestFit="1" customWidth="1"/>
    <col min="24" max="24" width="12" bestFit="1" customWidth="1"/>
    <col min="35" max="35" width="12.59765625" customWidth="1"/>
    <col min="36" max="36" width="11.69921875" customWidth="1"/>
    <col min="37" max="38" width="14.19921875" customWidth="1"/>
    <col min="39" max="39" width="14.8984375" customWidth="1"/>
  </cols>
  <sheetData>
    <row r="1" spans="1:41" s="1" customFormat="1" ht="25.5" customHeight="1" x14ac:dyDescent="0.3">
      <c r="A1" s="195" t="s">
        <v>324</v>
      </c>
      <c r="B1" s="196"/>
      <c r="C1" s="105"/>
      <c r="D1" s="70" t="s">
        <v>325</v>
      </c>
      <c r="E1" s="2"/>
      <c r="F1" s="1">
        <v>2025</v>
      </c>
      <c r="R1" s="1">
        <v>2026</v>
      </c>
      <c r="Y1" s="87"/>
      <c r="AA1" s="87"/>
    </row>
    <row r="2" spans="1:41" x14ac:dyDescent="0.3">
      <c r="D2" t="s">
        <v>3</v>
      </c>
      <c r="F2"/>
      <c r="H2"/>
      <c r="P2" s="30"/>
      <c r="R2" s="30" t="e">
        <f>AVERAGE(S14:S60)</f>
        <v>#DIV/0!</v>
      </c>
      <c r="S2" s="30"/>
      <c r="T2" s="30" t="e">
        <f>AVERAGE(U14:U60)</f>
        <v>#DIV/0!</v>
      </c>
      <c r="U2" s="30"/>
      <c r="V2" s="30">
        <f>SUM(V14:V60)</f>
        <v>0</v>
      </c>
      <c r="Y2" s="80"/>
      <c r="AA2" s="30"/>
      <c r="AB2" s="30"/>
    </row>
    <row r="3" spans="1:41" x14ac:dyDescent="0.3">
      <c r="F3" s="30"/>
      <c r="G3" s="80"/>
      <c r="H3" s="30"/>
      <c r="I3" s="30">
        <f>SUM(G8:G12)+SUM(G62:G66)+G72+G85+G86+G87+G91+G98</f>
        <v>0</v>
      </c>
      <c r="K3" s="126"/>
    </row>
    <row r="4" spans="1:41" s="2" customFormat="1" ht="20.100000000000001" customHeight="1" x14ac:dyDescent="0.3">
      <c r="A4" s="212" t="s">
        <v>4</v>
      </c>
      <c r="B4" s="176" t="s">
        <v>5</v>
      </c>
      <c r="C4" s="176" t="s">
        <v>6</v>
      </c>
      <c r="D4" s="176" t="s">
        <v>7</v>
      </c>
      <c r="E4" s="199" t="s">
        <v>8</v>
      </c>
      <c r="F4" s="216" t="s">
        <v>326</v>
      </c>
      <c r="G4" s="213" t="s">
        <v>10</v>
      </c>
      <c r="H4" s="185" t="s">
        <v>11</v>
      </c>
      <c r="I4" s="185" t="s">
        <v>12</v>
      </c>
      <c r="J4" s="210" t="s">
        <v>13</v>
      </c>
      <c r="K4" s="213" t="s">
        <v>14</v>
      </c>
      <c r="L4" s="185" t="s">
        <v>15</v>
      </c>
      <c r="M4" s="185" t="s">
        <v>16</v>
      </c>
      <c r="N4" s="214" t="s">
        <v>17</v>
      </c>
      <c r="O4" s="211" t="s">
        <v>18</v>
      </c>
      <c r="P4" s="185" t="s">
        <v>19</v>
      </c>
      <c r="Q4" s="185" t="s">
        <v>20</v>
      </c>
      <c r="R4" s="214" t="s">
        <v>21</v>
      </c>
      <c r="S4" s="211" t="s">
        <v>22</v>
      </c>
      <c r="T4" s="185" t="s">
        <v>23</v>
      </c>
      <c r="U4" s="185" t="s">
        <v>24</v>
      </c>
      <c r="V4" s="214" t="s">
        <v>25</v>
      </c>
      <c r="W4" s="211" t="s">
        <v>26</v>
      </c>
      <c r="X4" s="185" t="s">
        <v>27</v>
      </c>
      <c r="Y4" s="185" t="s">
        <v>28</v>
      </c>
      <c r="Z4" s="214" t="s">
        <v>29</v>
      </c>
      <c r="AA4" s="211" t="s">
        <v>30</v>
      </c>
      <c r="AB4" s="185" t="s">
        <v>31</v>
      </c>
      <c r="AC4" s="188" t="s">
        <v>32</v>
      </c>
      <c r="AE4" s="215" t="s">
        <v>33</v>
      </c>
      <c r="AG4" s="207" t="s">
        <v>327</v>
      </c>
      <c r="AH4" s="208"/>
      <c r="AI4" s="208"/>
      <c r="AJ4" s="208"/>
      <c r="AK4" s="208"/>
      <c r="AL4" s="208"/>
      <c r="AM4" s="208"/>
      <c r="AN4" s="208"/>
      <c r="AO4" s="209"/>
    </row>
    <row r="5" spans="1:41" s="2" customFormat="1" ht="20.100000000000001" customHeight="1" x14ac:dyDescent="0.3">
      <c r="A5" s="179"/>
      <c r="B5" s="177"/>
      <c r="C5" s="177"/>
      <c r="D5" s="177"/>
      <c r="E5" s="189"/>
      <c r="F5" s="217"/>
      <c r="G5" s="191"/>
      <c r="H5" s="177"/>
      <c r="I5" s="177"/>
      <c r="J5" s="198"/>
      <c r="K5" s="191"/>
      <c r="L5" s="177"/>
      <c r="M5" s="177"/>
      <c r="N5" s="187"/>
      <c r="O5" s="182"/>
      <c r="P5" s="177"/>
      <c r="Q5" s="177"/>
      <c r="R5" s="187"/>
      <c r="S5" s="182"/>
      <c r="T5" s="177"/>
      <c r="U5" s="177"/>
      <c r="V5" s="187"/>
      <c r="W5" s="182"/>
      <c r="X5" s="177"/>
      <c r="Y5" s="177"/>
      <c r="Z5" s="187"/>
      <c r="AA5" s="182"/>
      <c r="AB5" s="177"/>
      <c r="AC5" s="189"/>
      <c r="AE5" s="179"/>
      <c r="AG5" s="158" t="s">
        <v>36</v>
      </c>
      <c r="AH5" s="147" t="s">
        <v>37</v>
      </c>
      <c r="AI5" s="159" t="s">
        <v>38</v>
      </c>
      <c r="AJ5" s="147" t="s">
        <v>40</v>
      </c>
      <c r="AK5" s="159" t="s">
        <v>42</v>
      </c>
      <c r="AL5" s="158" t="s">
        <v>43</v>
      </c>
      <c r="AM5" s="158" t="s">
        <v>328</v>
      </c>
      <c r="AN5" s="158" t="s">
        <v>44</v>
      </c>
      <c r="AO5" s="147" t="s">
        <v>329</v>
      </c>
    </row>
    <row r="6" spans="1:41" s="3" customFormat="1" x14ac:dyDescent="0.3">
      <c r="A6" s="204"/>
      <c r="B6" s="3" t="s">
        <v>155</v>
      </c>
      <c r="C6" s="3" t="s">
        <v>156</v>
      </c>
      <c r="D6" s="3" t="s">
        <v>44</v>
      </c>
      <c r="E6" s="3">
        <v>67857</v>
      </c>
      <c r="F6" s="122"/>
      <c r="G6" s="89"/>
      <c r="H6" s="127"/>
      <c r="I6" s="81"/>
      <c r="J6" s="122"/>
      <c r="K6" s="89"/>
      <c r="L6" s="127"/>
      <c r="M6" s="81"/>
      <c r="N6" s="161"/>
      <c r="O6" s="89"/>
      <c r="P6" s="162"/>
      <c r="Q6" s="81"/>
      <c r="R6" s="37"/>
      <c r="S6" s="35"/>
      <c r="T6" s="91"/>
      <c r="U6" s="81"/>
      <c r="V6" s="92"/>
      <c r="W6" s="89"/>
      <c r="X6" s="91"/>
      <c r="Y6" s="81"/>
      <c r="Z6" s="92"/>
      <c r="AA6" s="89"/>
      <c r="AB6" s="91"/>
      <c r="AC6" s="81"/>
      <c r="AE6" s="204"/>
      <c r="AG6" s="150" t="s">
        <v>46</v>
      </c>
      <c r="AH6" s="151">
        <f>SUM(G6:G122)</f>
        <v>0</v>
      </c>
      <c r="AI6" s="152">
        <f>SUM(F6:F122)</f>
        <v>0</v>
      </c>
      <c r="AJ6" s="152">
        <f>SUMIF($D$6:$D$122,"Operational",$F$6:$F$122)</f>
        <v>0</v>
      </c>
      <c r="AK6" s="152">
        <f>SUMIF($D$6:$D$122,AK$5,$F$6:$F$122)</f>
        <v>0</v>
      </c>
      <c r="AL6" s="152">
        <f t="shared" ref="AL6:AO6" si="0">SUMIF($D$6:$D$122,AL$5,$F$6:$F$122)</f>
        <v>0</v>
      </c>
      <c r="AM6" s="152">
        <f t="shared" si="0"/>
        <v>0</v>
      </c>
      <c r="AN6" s="152">
        <f t="shared" si="0"/>
        <v>0</v>
      </c>
      <c r="AO6" s="153">
        <f t="shared" si="0"/>
        <v>0</v>
      </c>
    </row>
    <row r="7" spans="1:41" s="3" customFormat="1" x14ac:dyDescent="0.3">
      <c r="A7" s="204"/>
      <c r="B7" s="3" t="s">
        <v>155</v>
      </c>
      <c r="C7" s="3" t="s">
        <v>330</v>
      </c>
      <c r="D7" s="3" t="s">
        <v>44</v>
      </c>
      <c r="E7" s="3">
        <v>68536</v>
      </c>
      <c r="F7" s="122"/>
      <c r="G7" s="89"/>
      <c r="H7" s="127"/>
      <c r="I7" s="81"/>
      <c r="J7" s="122"/>
      <c r="K7" s="89"/>
      <c r="L7" s="127"/>
      <c r="M7" s="81"/>
      <c r="N7" s="88"/>
      <c r="O7" s="89"/>
      <c r="P7" s="81"/>
      <c r="Q7" s="81"/>
      <c r="R7" s="37"/>
      <c r="S7" s="35"/>
      <c r="T7" s="91"/>
      <c r="U7" s="81"/>
      <c r="V7" s="92"/>
      <c r="W7" s="89"/>
      <c r="X7" s="91"/>
      <c r="Y7" s="81"/>
      <c r="Z7" s="92"/>
      <c r="AA7" s="89"/>
      <c r="AB7" s="91"/>
      <c r="AC7" s="81"/>
      <c r="AE7" s="204"/>
      <c r="AG7" s="150" t="s">
        <v>48</v>
      </c>
      <c r="AH7" s="151">
        <f>SUM(I6:I122)</f>
        <v>0</v>
      </c>
      <c r="AI7" s="152">
        <f>SUM(H6:H122)</f>
        <v>0</v>
      </c>
      <c r="AJ7" s="152">
        <f>SUMIF($D$6:$D$122,"Operational",$H$6:$H$122)</f>
        <v>0</v>
      </c>
      <c r="AK7" s="152">
        <f>SUMIF($D$6:$D$122,AK$5,$H$6:$H$122)</f>
        <v>0</v>
      </c>
      <c r="AL7" s="152">
        <f t="shared" ref="AL7:AO7" si="1">SUMIF($D$6:$D$122,AL$5,$H$6:$H$122)</f>
        <v>0</v>
      </c>
      <c r="AM7" s="152">
        <f t="shared" si="1"/>
        <v>0</v>
      </c>
      <c r="AN7" s="152">
        <f t="shared" si="1"/>
        <v>0</v>
      </c>
      <c r="AO7" s="153">
        <f t="shared" si="1"/>
        <v>0</v>
      </c>
    </row>
    <row r="8" spans="1:41" s="3" customFormat="1" x14ac:dyDescent="0.3">
      <c r="A8" s="204"/>
      <c r="B8" s="3" t="s">
        <v>204</v>
      </c>
      <c r="C8" s="3" t="s">
        <v>331</v>
      </c>
      <c r="D8" s="3" t="s">
        <v>40</v>
      </c>
      <c r="E8" s="3">
        <v>61814</v>
      </c>
      <c r="F8" s="122"/>
      <c r="G8" s="89"/>
      <c r="H8" s="127"/>
      <c r="I8" s="81"/>
      <c r="J8" s="122"/>
      <c r="K8" s="89"/>
      <c r="L8" s="127"/>
      <c r="M8" s="81"/>
      <c r="N8" s="88"/>
      <c r="O8" s="89"/>
      <c r="P8" s="81"/>
      <c r="Q8" s="81"/>
      <c r="R8" s="37"/>
      <c r="S8" s="35"/>
      <c r="T8" s="91"/>
      <c r="U8" s="81"/>
      <c r="V8" s="92"/>
      <c r="W8" s="89"/>
      <c r="X8" s="91"/>
      <c r="Y8" s="81"/>
      <c r="Z8" s="92"/>
      <c r="AA8" s="89"/>
      <c r="AB8" s="91"/>
      <c r="AC8" s="81"/>
      <c r="AE8" s="204"/>
      <c r="AG8" s="150" t="s">
        <v>50</v>
      </c>
      <c r="AH8" s="151">
        <f>SUM(K6:K122)</f>
        <v>0</v>
      </c>
      <c r="AI8" s="152">
        <f>SUM(J6:J122)</f>
        <v>0</v>
      </c>
      <c r="AJ8" s="152">
        <f>SUMIF($D$6:$D$122,"Operational",$J$6:$J$122)</f>
        <v>0</v>
      </c>
      <c r="AK8" s="152">
        <f>SUMIF($D$6:$D$122,AK$5,$J$6:$J$122)</f>
        <v>0</v>
      </c>
      <c r="AL8" s="152">
        <f t="shared" ref="AL8:AO8" si="2">SUMIF($D$6:$D$122,AL$5,$J$6:$J$122)</f>
        <v>0</v>
      </c>
      <c r="AM8" s="152">
        <f t="shared" si="2"/>
        <v>0</v>
      </c>
      <c r="AN8" s="152">
        <f t="shared" si="2"/>
        <v>0</v>
      </c>
      <c r="AO8" s="153">
        <f t="shared" si="2"/>
        <v>0</v>
      </c>
    </row>
    <row r="9" spans="1:41" s="3" customFormat="1" x14ac:dyDescent="0.3">
      <c r="A9" s="204"/>
      <c r="B9" s="3" t="s">
        <v>332</v>
      </c>
      <c r="C9" s="3" t="s">
        <v>205</v>
      </c>
      <c r="D9" s="3" t="s">
        <v>40</v>
      </c>
      <c r="E9" s="3">
        <v>67854</v>
      </c>
      <c r="F9" s="122"/>
      <c r="G9" s="89"/>
      <c r="H9" s="127"/>
      <c r="I9" s="81"/>
      <c r="J9" s="122"/>
      <c r="K9" s="89"/>
      <c r="L9" s="127"/>
      <c r="M9" s="81"/>
      <c r="N9" s="88"/>
      <c r="O9" s="89"/>
      <c r="P9" s="81"/>
      <c r="Q9" s="81"/>
      <c r="R9" s="37"/>
      <c r="S9" s="35"/>
      <c r="T9" s="91"/>
      <c r="U9" s="81"/>
      <c r="V9" s="92"/>
      <c r="W9" s="89"/>
      <c r="X9" s="91"/>
      <c r="Y9" s="81"/>
      <c r="Z9" s="92"/>
      <c r="AA9" s="89"/>
      <c r="AB9" s="91"/>
      <c r="AC9" s="81"/>
      <c r="AE9" s="204"/>
      <c r="AG9" s="150" t="s">
        <v>52</v>
      </c>
      <c r="AH9" s="151">
        <f>SUM(M6:M122)</f>
        <v>0</v>
      </c>
      <c r="AI9" s="152">
        <f>SUM(L6:L122)</f>
        <v>0</v>
      </c>
      <c r="AJ9" s="152">
        <f>SUMIF($D$6:$D$122,"Operational",$L$6:$L$122)</f>
        <v>0</v>
      </c>
      <c r="AK9" s="152">
        <f>SUMIF($D$6:$D$122,AK$5,$L$6:$L$122)</f>
        <v>0</v>
      </c>
      <c r="AL9" s="152">
        <f t="shared" ref="AL9:AO9" si="3">SUMIF($D$6:$D$122,AL$5,$L$6:$L$122)</f>
        <v>0</v>
      </c>
      <c r="AM9" s="152">
        <f t="shared" si="3"/>
        <v>0</v>
      </c>
      <c r="AN9" s="152">
        <f t="shared" si="3"/>
        <v>0</v>
      </c>
      <c r="AO9" s="153">
        <f t="shared" si="3"/>
        <v>0</v>
      </c>
    </row>
    <row r="10" spans="1:41" s="3" customFormat="1" x14ac:dyDescent="0.3">
      <c r="A10" s="204"/>
      <c r="B10" s="3" t="s">
        <v>333</v>
      </c>
      <c r="C10" s="3" t="s">
        <v>334</v>
      </c>
      <c r="D10" s="3" t="s">
        <v>40</v>
      </c>
      <c r="E10" s="3">
        <v>63623</v>
      </c>
      <c r="F10" s="122"/>
      <c r="G10" s="89"/>
      <c r="H10" s="127"/>
      <c r="I10" s="81"/>
      <c r="J10" s="122"/>
      <c r="K10" s="89"/>
      <c r="L10" s="127"/>
      <c r="M10" s="81"/>
      <c r="N10" s="88"/>
      <c r="O10" s="89"/>
      <c r="P10" s="81"/>
      <c r="Q10" s="81"/>
      <c r="R10" s="37"/>
      <c r="S10" s="35"/>
      <c r="T10" s="91"/>
      <c r="U10" s="81"/>
      <c r="V10" s="92"/>
      <c r="W10" s="89"/>
      <c r="X10" s="91"/>
      <c r="Y10" s="81"/>
      <c r="Z10" s="92"/>
      <c r="AA10" s="89"/>
      <c r="AB10" s="91"/>
      <c r="AC10" s="81"/>
      <c r="AE10" s="204"/>
      <c r="AG10" s="150" t="s">
        <v>54</v>
      </c>
      <c r="AH10" s="151">
        <f>SUM(O6:O122)</f>
        <v>0</v>
      </c>
      <c r="AI10" s="152">
        <f>SUM(N6:N122)</f>
        <v>0</v>
      </c>
      <c r="AJ10" s="152">
        <f>SUMIF($D$6:$D$122,"Operational",$N$6:$N$122)</f>
        <v>0</v>
      </c>
      <c r="AK10" s="152">
        <f>SUMIF($D$6:$D$122,AK$5,$N$6:$N$122)</f>
        <v>0</v>
      </c>
      <c r="AL10" s="152">
        <f t="shared" ref="AL10:AO10" si="4">SUMIF($D$6:$D$122,AL$5,$N$6:$N$122)</f>
        <v>0</v>
      </c>
      <c r="AM10" s="152">
        <f t="shared" si="4"/>
        <v>0</v>
      </c>
      <c r="AN10" s="152">
        <f t="shared" si="4"/>
        <v>0</v>
      </c>
      <c r="AO10" s="153">
        <f t="shared" si="4"/>
        <v>0</v>
      </c>
    </row>
    <row r="11" spans="1:41" s="3" customFormat="1" x14ac:dyDescent="0.3">
      <c r="A11" s="204"/>
      <c r="B11" s="3" t="s">
        <v>335</v>
      </c>
      <c r="C11" s="3" t="s">
        <v>196</v>
      </c>
      <c r="D11" s="3" t="s">
        <v>40</v>
      </c>
      <c r="E11" s="3">
        <v>64970</v>
      </c>
      <c r="F11" s="122"/>
      <c r="G11" s="89"/>
      <c r="H11" s="127"/>
      <c r="I11" s="81"/>
      <c r="J11" s="122"/>
      <c r="K11" s="89"/>
      <c r="L11" s="127"/>
      <c r="M11" s="81"/>
      <c r="N11" s="88"/>
      <c r="O11" s="89"/>
      <c r="P11" s="81"/>
      <c r="Q11" s="81"/>
      <c r="R11" s="37"/>
      <c r="S11" s="35"/>
      <c r="T11" s="91"/>
      <c r="U11" s="81"/>
      <c r="V11" s="92"/>
      <c r="W11" s="89"/>
      <c r="X11" s="91"/>
      <c r="Y11" s="81"/>
      <c r="Z11" s="92"/>
      <c r="AA11" s="89"/>
      <c r="AB11" s="91"/>
      <c r="AC11" s="81"/>
      <c r="AE11" s="204"/>
      <c r="AG11" s="150" t="s">
        <v>56</v>
      </c>
      <c r="AH11" s="151">
        <f>SUM(Q6:Q122)</f>
        <v>0</v>
      </c>
      <c r="AI11" s="152">
        <f>SUM(P6:P122)</f>
        <v>0</v>
      </c>
      <c r="AJ11" s="152">
        <f>SUMIF($D$6:$D$122,"Operational",$P$6:$P$122)</f>
        <v>0</v>
      </c>
      <c r="AK11" s="152">
        <f>SUMIF($D$6:$D$122,AK$5,$P$6:$P$122)</f>
        <v>0</v>
      </c>
      <c r="AL11" s="152">
        <f t="shared" ref="AL11:AO11" si="5">SUMIF($D$6:$D$122,AL$5,$P$6:$P$122)</f>
        <v>0</v>
      </c>
      <c r="AM11" s="152">
        <f t="shared" si="5"/>
        <v>0</v>
      </c>
      <c r="AN11" s="152">
        <f t="shared" si="5"/>
        <v>0</v>
      </c>
      <c r="AO11" s="153">
        <f t="shared" si="5"/>
        <v>0</v>
      </c>
    </row>
    <row r="12" spans="1:41" s="3" customFormat="1" x14ac:dyDescent="0.3">
      <c r="A12" s="204"/>
      <c r="B12" s="3" t="s">
        <v>336</v>
      </c>
      <c r="C12" s="3" t="s">
        <v>191</v>
      </c>
      <c r="D12" s="3" t="s">
        <v>40</v>
      </c>
      <c r="E12" s="3">
        <v>64969</v>
      </c>
      <c r="F12" s="122"/>
      <c r="G12" s="89"/>
      <c r="H12" s="127"/>
      <c r="I12" s="81"/>
      <c r="J12" s="122"/>
      <c r="K12" s="89"/>
      <c r="L12" s="127"/>
      <c r="M12" s="81"/>
      <c r="N12" s="88"/>
      <c r="O12" s="89"/>
      <c r="P12" s="81"/>
      <c r="Q12" s="81"/>
      <c r="R12" s="37"/>
      <c r="S12" s="35"/>
      <c r="T12" s="91"/>
      <c r="U12" s="81"/>
      <c r="V12" s="92"/>
      <c r="W12" s="89"/>
      <c r="X12" s="91"/>
      <c r="Y12" s="81"/>
      <c r="Z12" s="92"/>
      <c r="AA12" s="89"/>
      <c r="AB12" s="91"/>
      <c r="AC12" s="81"/>
      <c r="AE12" s="204"/>
      <c r="AG12" s="150" t="s">
        <v>58</v>
      </c>
      <c r="AH12" s="151">
        <f>SUM(S6:S122)</f>
        <v>0</v>
      </c>
      <c r="AI12" s="152">
        <f>SUM(R6:R122)</f>
        <v>0</v>
      </c>
      <c r="AJ12" s="152">
        <f>SUMIF($D$6:$D$122,"Operational",$R$6:$R$122)</f>
        <v>0</v>
      </c>
      <c r="AK12" s="152">
        <f>SUMIF($D$6:$D$122,AK$5,$R$6:$R$122)</f>
        <v>0</v>
      </c>
      <c r="AL12" s="152">
        <f t="shared" ref="AL12:AO12" si="6">SUMIF($D$6:$D$122,AL$5,$R$6:$R$122)</f>
        <v>0</v>
      </c>
      <c r="AM12" s="152">
        <f t="shared" si="6"/>
        <v>0</v>
      </c>
      <c r="AN12" s="152">
        <f t="shared" si="6"/>
        <v>0</v>
      </c>
      <c r="AO12" s="153">
        <f t="shared" si="6"/>
        <v>0</v>
      </c>
    </row>
    <row r="13" spans="1:41" s="3" customFormat="1" x14ac:dyDescent="0.3">
      <c r="A13" s="204"/>
      <c r="F13" s="122"/>
      <c r="G13" s="89"/>
      <c r="H13" s="127"/>
      <c r="I13" s="81"/>
      <c r="J13" s="122"/>
      <c r="K13" s="89"/>
      <c r="L13" s="127"/>
      <c r="M13" s="81"/>
      <c r="N13" s="88"/>
      <c r="O13" s="89"/>
      <c r="P13" s="81"/>
      <c r="Q13" s="81"/>
      <c r="R13" s="37"/>
      <c r="S13" s="35"/>
      <c r="T13" s="91"/>
      <c r="U13" s="81"/>
      <c r="V13" s="92"/>
      <c r="W13" s="89"/>
      <c r="X13" s="91"/>
      <c r="Y13" s="81"/>
      <c r="Z13" s="92"/>
      <c r="AA13" s="89"/>
      <c r="AB13" s="91"/>
      <c r="AC13" s="81"/>
      <c r="AE13" s="204"/>
      <c r="AG13" s="150" t="s">
        <v>60</v>
      </c>
      <c r="AH13" s="151">
        <f>SUM(U6:U122)</f>
        <v>0</v>
      </c>
      <c r="AI13" s="152">
        <f>SUM(T6:T122)</f>
        <v>0</v>
      </c>
      <c r="AJ13" s="152">
        <f>SUMIF($D$6:$D$122,"Operational",$T$6:$T$122)</f>
        <v>0</v>
      </c>
      <c r="AK13" s="152">
        <f>SUMIF($D$6:$D$122,AK$5,$T$6:$T$122)</f>
        <v>0</v>
      </c>
      <c r="AL13" s="152">
        <f t="shared" ref="AL13:AO13" si="7">SUMIF($D$6:$D$122,AL$5,$T$6:$T$122)</f>
        <v>0</v>
      </c>
      <c r="AM13" s="152">
        <f t="shared" si="7"/>
        <v>0</v>
      </c>
      <c r="AN13" s="152">
        <f t="shared" si="7"/>
        <v>0</v>
      </c>
      <c r="AO13" s="153">
        <f t="shared" si="7"/>
        <v>0</v>
      </c>
    </row>
    <row r="14" spans="1:41" s="3" customFormat="1" x14ac:dyDescent="0.3">
      <c r="A14" s="204"/>
      <c r="B14" s="3" t="s">
        <v>288</v>
      </c>
      <c r="C14" s="3" t="s">
        <v>42</v>
      </c>
      <c r="D14" s="3" t="s">
        <v>42</v>
      </c>
      <c r="E14" s="3">
        <v>64552</v>
      </c>
      <c r="F14" s="122"/>
      <c r="G14" s="89"/>
      <c r="H14" s="127"/>
      <c r="I14" s="81"/>
      <c r="J14" s="122"/>
      <c r="K14" s="89"/>
      <c r="L14" s="127"/>
      <c r="M14" s="81"/>
      <c r="N14" s="88"/>
      <c r="O14" s="89"/>
      <c r="P14" s="81"/>
      <c r="Q14" s="81"/>
      <c r="R14" s="37"/>
      <c r="S14" s="35"/>
      <c r="T14" s="91"/>
      <c r="U14" s="81"/>
      <c r="V14" s="92"/>
      <c r="W14" s="89"/>
      <c r="X14" s="91"/>
      <c r="Y14" s="81"/>
      <c r="Z14" s="92"/>
      <c r="AA14" s="89"/>
      <c r="AB14" s="91"/>
      <c r="AC14" s="81"/>
      <c r="AE14" s="204"/>
      <c r="AG14" s="150" t="s">
        <v>62</v>
      </c>
      <c r="AH14" s="151">
        <f>SUM(W6:W122)</f>
        <v>0</v>
      </c>
      <c r="AI14" s="152">
        <f>SUM(V6:V122)</f>
        <v>0</v>
      </c>
      <c r="AJ14" s="152">
        <f>SUMIF($D$6:$D$122,"Operational",$V$6:$V$122)</f>
        <v>0</v>
      </c>
      <c r="AK14" s="152">
        <f>SUMIF($D$6:$D$122,AK5,$V$6:$V$122)</f>
        <v>0</v>
      </c>
      <c r="AL14" s="152">
        <f t="shared" ref="AL14:AO14" si="8">SUMIF($D$6:$D$122,AL5,$V$6:$V$122)</f>
        <v>0</v>
      </c>
      <c r="AM14" s="152">
        <f t="shared" si="8"/>
        <v>0</v>
      </c>
      <c r="AN14" s="152">
        <f t="shared" si="8"/>
        <v>0</v>
      </c>
      <c r="AO14" s="153">
        <f t="shared" si="8"/>
        <v>0</v>
      </c>
    </row>
    <row r="15" spans="1:41" s="3" customFormat="1" x14ac:dyDescent="0.3">
      <c r="A15" s="204"/>
      <c r="B15" s="3" t="s">
        <v>338</v>
      </c>
      <c r="C15" s="3" t="s">
        <v>42</v>
      </c>
      <c r="D15" s="3" t="s">
        <v>42</v>
      </c>
      <c r="E15" s="3">
        <v>64554</v>
      </c>
      <c r="F15" s="122"/>
      <c r="G15" s="89"/>
      <c r="H15" s="127"/>
      <c r="I15" s="81"/>
      <c r="J15" s="122"/>
      <c r="K15" s="89"/>
      <c r="L15" s="127"/>
      <c r="M15" s="81"/>
      <c r="N15" s="88"/>
      <c r="O15" s="89"/>
      <c r="P15" s="81"/>
      <c r="Q15" s="81"/>
      <c r="R15" s="37"/>
      <c r="S15" s="35"/>
      <c r="T15" s="91"/>
      <c r="U15" s="81"/>
      <c r="V15" s="92"/>
      <c r="W15" s="89"/>
      <c r="X15" s="91"/>
      <c r="Y15" s="81"/>
      <c r="Z15" s="92"/>
      <c r="AA15" s="89"/>
      <c r="AB15" s="91"/>
      <c r="AC15" s="81"/>
      <c r="AE15" s="204"/>
      <c r="AG15" s="150" t="s">
        <v>64</v>
      </c>
      <c r="AH15" s="151">
        <f>SUM(Y6:Y122)</f>
        <v>0</v>
      </c>
      <c r="AI15" s="152">
        <f>SUM(X6:X122)</f>
        <v>0</v>
      </c>
      <c r="AJ15" s="152">
        <f>SUMIF($D$6:$D$122,"Operational",$X$6:$X$122)</f>
        <v>0</v>
      </c>
      <c r="AK15" s="152">
        <f>SUMIF($D$6:$D$122,AK5,$X$6:$X$122)</f>
        <v>0</v>
      </c>
      <c r="AL15" s="152">
        <f t="shared" ref="AL15:AO15" si="9">SUMIF($D$6:$D$122,AL5,$X$6:$X$122)</f>
        <v>0</v>
      </c>
      <c r="AM15" s="152">
        <f t="shared" si="9"/>
        <v>0</v>
      </c>
      <c r="AN15" s="152">
        <f t="shared" si="9"/>
        <v>0</v>
      </c>
      <c r="AO15" s="153">
        <f t="shared" si="9"/>
        <v>0</v>
      </c>
    </row>
    <row r="16" spans="1:41" s="3" customFormat="1" x14ac:dyDescent="0.3">
      <c r="A16" s="204"/>
      <c r="B16" s="3" t="s">
        <v>282</v>
      </c>
      <c r="C16" s="3" t="s">
        <v>42</v>
      </c>
      <c r="D16" s="3" t="s">
        <v>42</v>
      </c>
      <c r="E16" s="3">
        <v>64553</v>
      </c>
      <c r="F16" s="122"/>
      <c r="G16" s="89"/>
      <c r="H16" s="127"/>
      <c r="I16" s="81"/>
      <c r="J16" s="122"/>
      <c r="K16" s="89"/>
      <c r="L16" s="127"/>
      <c r="M16" s="81"/>
      <c r="N16" s="88"/>
      <c r="O16" s="89"/>
      <c r="P16" s="81"/>
      <c r="Q16" s="81"/>
      <c r="R16" s="37"/>
      <c r="S16" s="35"/>
      <c r="T16" s="91"/>
      <c r="U16" s="81"/>
      <c r="V16" s="92"/>
      <c r="W16" s="89"/>
      <c r="X16" s="91"/>
      <c r="Y16" s="81"/>
      <c r="Z16" s="92"/>
      <c r="AA16" s="89"/>
      <c r="AB16" s="91"/>
      <c r="AC16" s="81"/>
      <c r="AE16" s="204"/>
      <c r="AG16" s="150" t="s">
        <v>66</v>
      </c>
      <c r="AH16" s="151">
        <f>SUM(AA6:AA122)</f>
        <v>0</v>
      </c>
      <c r="AI16" s="152">
        <f>SUM(Z6:Z122)</f>
        <v>0</v>
      </c>
      <c r="AJ16" s="152">
        <f>SUMIF($D$6:$D$122,"Operational",$Z$6:$Z$122)</f>
        <v>0</v>
      </c>
      <c r="AK16" s="152">
        <f>SUMIF($D$6:$D$122,AK$5,$Z$6:$Z$122)</f>
        <v>0</v>
      </c>
      <c r="AL16" s="152">
        <f t="shared" ref="AL16:AO16" si="10">SUMIF($D$6:$D$122,AL$5,$Z$6:$Z$122)</f>
        <v>0</v>
      </c>
      <c r="AM16" s="152">
        <f t="shared" si="10"/>
        <v>0</v>
      </c>
      <c r="AN16" s="152">
        <f t="shared" si="10"/>
        <v>0</v>
      </c>
      <c r="AO16" s="153">
        <f t="shared" si="10"/>
        <v>0</v>
      </c>
    </row>
    <row r="17" spans="1:41" s="3" customFormat="1" x14ac:dyDescent="0.3">
      <c r="A17" s="204"/>
      <c r="B17" s="3" t="s">
        <v>283</v>
      </c>
      <c r="C17" s="3" t="s">
        <v>42</v>
      </c>
      <c r="D17" s="3" t="s">
        <v>42</v>
      </c>
      <c r="E17" s="3">
        <v>65341</v>
      </c>
      <c r="F17" s="122"/>
      <c r="G17" s="89"/>
      <c r="H17" s="127"/>
      <c r="I17" s="81"/>
      <c r="J17" s="122"/>
      <c r="K17" s="89"/>
      <c r="L17" s="127"/>
      <c r="M17" s="81"/>
      <c r="N17" s="88"/>
      <c r="O17" s="89"/>
      <c r="P17" s="81"/>
      <c r="Q17" s="81"/>
      <c r="R17" s="37"/>
      <c r="S17" s="35"/>
      <c r="T17" s="91"/>
      <c r="U17" s="81"/>
      <c r="V17" s="92"/>
      <c r="W17" s="89"/>
      <c r="X17" s="91"/>
      <c r="Y17" s="81"/>
      <c r="Z17" s="92"/>
      <c r="AA17" s="89"/>
      <c r="AB17" s="91"/>
      <c r="AC17" s="81"/>
      <c r="AE17" s="204"/>
      <c r="AG17" s="150" t="s">
        <v>68</v>
      </c>
      <c r="AH17" s="151">
        <f>SUM(AC6:AC122)</f>
        <v>0</v>
      </c>
      <c r="AI17" s="152">
        <f>SUM(AB6:AB122)</f>
        <v>0</v>
      </c>
      <c r="AJ17" s="152">
        <f>SUMIF($D$6:$D$122,"Operational",$AB$6:$AB$122)</f>
        <v>0</v>
      </c>
      <c r="AK17" s="152">
        <f>SUMIF($D$6:$D$122,AK$5,$AB$6:$AB$122)</f>
        <v>0</v>
      </c>
      <c r="AL17" s="152">
        <f t="shared" ref="AL17:AO17" si="11">SUMIF($D$6:$D$122,AL$5,$AB$6:$AB$122)</f>
        <v>0</v>
      </c>
      <c r="AM17" s="152">
        <f t="shared" si="11"/>
        <v>0</v>
      </c>
      <c r="AN17" s="152">
        <f t="shared" si="11"/>
        <v>0</v>
      </c>
      <c r="AO17" s="153">
        <f t="shared" si="11"/>
        <v>0</v>
      </c>
    </row>
    <row r="18" spans="1:41" s="3" customFormat="1" x14ac:dyDescent="0.3">
      <c r="A18" s="204"/>
      <c r="B18" s="3" t="s">
        <v>339</v>
      </c>
      <c r="C18" s="3" t="s">
        <v>42</v>
      </c>
      <c r="D18" s="3" t="s">
        <v>42</v>
      </c>
      <c r="E18" s="3">
        <v>64322</v>
      </c>
      <c r="F18" s="122"/>
      <c r="G18" s="89"/>
      <c r="H18" s="127"/>
      <c r="I18" s="81"/>
      <c r="J18" s="122"/>
      <c r="K18" s="89"/>
      <c r="L18" s="127"/>
      <c r="M18" s="81"/>
      <c r="N18" s="88"/>
      <c r="O18" s="89"/>
      <c r="P18" s="81"/>
      <c r="Q18" s="81"/>
      <c r="R18" s="37"/>
      <c r="S18" s="35"/>
      <c r="T18" s="91"/>
      <c r="U18" s="81"/>
      <c r="V18" s="92"/>
      <c r="W18" s="89"/>
      <c r="X18" s="91"/>
      <c r="Y18" s="81"/>
      <c r="Z18" s="92"/>
      <c r="AA18" s="89"/>
      <c r="AB18" s="91"/>
      <c r="AC18" s="81"/>
      <c r="AE18" s="204"/>
      <c r="AG18" s="154" t="s">
        <v>340</v>
      </c>
      <c r="AH18" s="155">
        <f>SUM(AH6:AH17)</f>
        <v>0</v>
      </c>
      <c r="AI18" s="156">
        <f t="shared" ref="AI18:AM18" si="12">SUM(AI6:AI17)</f>
        <v>0</v>
      </c>
      <c r="AJ18" s="156">
        <f t="shared" si="12"/>
        <v>0</v>
      </c>
      <c r="AK18" s="156">
        <f>SUM(AK6:AK17)</f>
        <v>0</v>
      </c>
      <c r="AL18" s="156">
        <f t="shared" si="12"/>
        <v>0</v>
      </c>
      <c r="AM18" s="156">
        <f t="shared" si="12"/>
        <v>0</v>
      </c>
      <c r="AN18" s="156">
        <f>SUM(AN6:AN17)</f>
        <v>0</v>
      </c>
      <c r="AO18" s="157">
        <f>SUM(AO6:AO17)</f>
        <v>0</v>
      </c>
    </row>
    <row r="19" spans="1:41" s="3" customFormat="1" x14ac:dyDescent="0.3">
      <c r="A19" s="204"/>
      <c r="B19" s="3" t="s">
        <v>341</v>
      </c>
      <c r="C19" s="3" t="s">
        <v>42</v>
      </c>
      <c r="D19" s="3" t="s">
        <v>42</v>
      </c>
      <c r="E19" s="3">
        <v>57520</v>
      </c>
      <c r="F19" s="122"/>
      <c r="G19" s="89"/>
      <c r="H19" s="127"/>
      <c r="I19" s="81"/>
      <c r="J19" s="122"/>
      <c r="K19" s="89"/>
      <c r="L19" s="127"/>
      <c r="M19" s="81"/>
      <c r="N19" s="88"/>
      <c r="O19" s="89"/>
      <c r="P19" s="81"/>
      <c r="Q19" s="81"/>
      <c r="R19" s="37"/>
      <c r="S19" s="35"/>
      <c r="T19" s="91"/>
      <c r="U19" s="81"/>
      <c r="V19" s="92"/>
      <c r="W19" s="89"/>
      <c r="X19" s="91"/>
      <c r="Y19" s="81"/>
      <c r="Z19" s="92"/>
      <c r="AA19" s="89"/>
      <c r="AB19" s="91"/>
      <c r="AC19" s="81"/>
      <c r="AE19" s="204"/>
    </row>
    <row r="20" spans="1:41" s="3" customFormat="1" x14ac:dyDescent="0.3">
      <c r="A20" s="204"/>
      <c r="B20" s="3" t="s">
        <v>285</v>
      </c>
      <c r="C20" s="3" t="s">
        <v>42</v>
      </c>
      <c r="D20" s="3" t="s">
        <v>42</v>
      </c>
      <c r="E20" s="3">
        <v>63222</v>
      </c>
      <c r="F20" s="122"/>
      <c r="G20" s="89"/>
      <c r="H20" s="127"/>
      <c r="I20" s="81"/>
      <c r="J20" s="122"/>
      <c r="K20" s="89"/>
      <c r="L20" s="127"/>
      <c r="M20" s="81"/>
      <c r="N20" s="88"/>
      <c r="O20" s="89"/>
      <c r="P20" s="81"/>
      <c r="Q20" s="81"/>
      <c r="R20" s="37"/>
      <c r="S20" s="35"/>
      <c r="T20" s="91"/>
      <c r="U20" s="81"/>
      <c r="V20" s="92"/>
      <c r="W20" s="89"/>
      <c r="X20" s="91"/>
      <c r="Y20" s="81"/>
      <c r="Z20" s="92"/>
      <c r="AA20" s="89"/>
      <c r="AB20" s="91"/>
      <c r="AC20" s="81"/>
      <c r="AE20" s="204"/>
    </row>
    <row r="21" spans="1:41" s="3" customFormat="1" x14ac:dyDescent="0.3">
      <c r="A21" s="204"/>
      <c r="B21" s="3" t="s">
        <v>342</v>
      </c>
      <c r="C21" s="3" t="s">
        <v>42</v>
      </c>
      <c r="D21" s="3" t="s">
        <v>42</v>
      </c>
      <c r="E21" s="3">
        <v>65295</v>
      </c>
      <c r="F21" s="122"/>
      <c r="G21" s="89"/>
      <c r="H21" s="127"/>
      <c r="I21" s="81"/>
      <c r="J21" s="122"/>
      <c r="K21" s="89"/>
      <c r="L21" s="127"/>
      <c r="M21" s="81"/>
      <c r="N21" s="88"/>
      <c r="O21" s="89"/>
      <c r="P21" s="81"/>
      <c r="Q21" s="81"/>
      <c r="R21" s="37"/>
      <c r="S21" s="35"/>
      <c r="T21" s="91"/>
      <c r="U21" s="81"/>
      <c r="V21" s="92"/>
      <c r="W21" s="89"/>
      <c r="X21" s="91"/>
      <c r="Y21" s="81"/>
      <c r="Z21" s="92"/>
      <c r="AA21" s="89"/>
      <c r="AB21" s="91"/>
      <c r="AC21" s="81"/>
      <c r="AE21" s="204"/>
    </row>
    <row r="22" spans="1:41" s="3" customFormat="1" x14ac:dyDescent="0.3">
      <c r="A22" s="204"/>
      <c r="B22" s="3" t="s">
        <v>286</v>
      </c>
      <c r="C22" s="3" t="s">
        <v>42</v>
      </c>
      <c r="D22" s="3" t="s">
        <v>42</v>
      </c>
      <c r="E22" s="3">
        <v>63844</v>
      </c>
      <c r="F22" s="122"/>
      <c r="G22" s="89"/>
      <c r="H22" s="127"/>
      <c r="I22" s="81"/>
      <c r="J22" s="122"/>
      <c r="K22" s="89"/>
      <c r="L22" s="127"/>
      <c r="M22" s="81"/>
      <c r="N22" s="88"/>
      <c r="O22" s="89"/>
      <c r="P22" s="81"/>
      <c r="Q22" s="81"/>
      <c r="R22" s="37"/>
      <c r="S22" s="35"/>
      <c r="T22" s="91"/>
      <c r="U22" s="81"/>
      <c r="V22" s="92"/>
      <c r="W22" s="89"/>
      <c r="X22" s="91"/>
      <c r="Y22" s="81"/>
      <c r="Z22" s="92"/>
      <c r="AA22" s="89"/>
      <c r="AB22" s="91"/>
      <c r="AC22" s="81"/>
      <c r="AE22" s="204"/>
    </row>
    <row r="23" spans="1:41" s="3" customFormat="1" x14ac:dyDescent="0.3">
      <c r="A23" s="204"/>
      <c r="B23" s="3" t="s">
        <v>343</v>
      </c>
      <c r="C23" s="3" t="s">
        <v>42</v>
      </c>
      <c r="D23" s="3" t="s">
        <v>42</v>
      </c>
      <c r="E23" s="3">
        <v>61813</v>
      </c>
      <c r="F23" s="122"/>
      <c r="G23" s="89"/>
      <c r="H23" s="127"/>
      <c r="I23" s="81"/>
      <c r="J23" s="122"/>
      <c r="K23" s="89"/>
      <c r="L23" s="127"/>
      <c r="M23" s="81"/>
      <c r="N23" s="88"/>
      <c r="O23" s="89"/>
      <c r="P23" s="81"/>
      <c r="Q23" s="81"/>
      <c r="R23" s="37"/>
      <c r="S23" s="35"/>
      <c r="T23" s="91"/>
      <c r="U23" s="81"/>
      <c r="V23" s="92"/>
      <c r="W23" s="89"/>
      <c r="X23" s="91"/>
      <c r="Y23" s="81"/>
      <c r="Z23" s="92"/>
      <c r="AA23" s="89"/>
      <c r="AB23" s="91"/>
      <c r="AC23" s="81"/>
      <c r="AE23" s="204"/>
    </row>
    <row r="24" spans="1:41" s="3" customFormat="1" x14ac:dyDescent="0.3">
      <c r="A24" s="204"/>
      <c r="B24" s="3" t="s">
        <v>287</v>
      </c>
      <c r="C24" s="3" t="s">
        <v>42</v>
      </c>
      <c r="D24" s="3" t="s">
        <v>42</v>
      </c>
      <c r="E24" s="3">
        <v>65296</v>
      </c>
      <c r="F24" s="122"/>
      <c r="G24" s="89"/>
      <c r="H24" s="127"/>
      <c r="I24" s="81"/>
      <c r="J24" s="122"/>
      <c r="K24" s="89"/>
      <c r="L24" s="127"/>
      <c r="M24" s="81"/>
      <c r="N24" s="88"/>
      <c r="O24" s="89"/>
      <c r="P24" s="81"/>
      <c r="Q24" s="81"/>
      <c r="R24" s="37"/>
      <c r="S24" s="35"/>
      <c r="T24" s="91"/>
      <c r="U24" s="81"/>
      <c r="V24" s="92"/>
      <c r="W24" s="89"/>
      <c r="X24" s="91"/>
      <c r="Y24" s="81"/>
      <c r="Z24" s="92"/>
      <c r="AA24" s="89"/>
      <c r="AB24" s="91"/>
      <c r="AC24" s="81"/>
      <c r="AE24" s="204"/>
    </row>
    <row r="25" spans="1:41" s="3" customFormat="1" x14ac:dyDescent="0.3">
      <c r="A25" s="204"/>
      <c r="B25" s="3" t="s">
        <v>284</v>
      </c>
      <c r="C25" s="3" t="s">
        <v>42</v>
      </c>
      <c r="D25" s="3" t="s">
        <v>42</v>
      </c>
      <c r="E25" s="3">
        <v>64894</v>
      </c>
      <c r="F25" s="122"/>
      <c r="G25" s="89"/>
      <c r="H25" s="127"/>
      <c r="I25" s="81"/>
      <c r="J25" s="122"/>
      <c r="K25" s="89"/>
      <c r="L25" s="127"/>
      <c r="M25" s="81"/>
      <c r="N25" s="88"/>
      <c r="O25" s="89"/>
      <c r="P25" s="81"/>
      <c r="Q25" s="81"/>
      <c r="R25" s="37"/>
      <c r="S25" s="35"/>
      <c r="T25" s="91"/>
      <c r="U25" s="81"/>
      <c r="V25" s="92"/>
      <c r="W25" s="89"/>
      <c r="X25" s="91"/>
      <c r="Y25" s="81"/>
      <c r="Z25" s="92"/>
      <c r="AA25" s="89"/>
      <c r="AB25" s="91"/>
      <c r="AC25" s="81"/>
      <c r="AE25" s="204"/>
    </row>
    <row r="26" spans="1:41" s="3" customFormat="1" x14ac:dyDescent="0.3">
      <c r="A26" s="204"/>
      <c r="B26" s="3" t="s">
        <v>344</v>
      </c>
      <c r="C26" s="3" t="s">
        <v>42</v>
      </c>
      <c r="D26" s="3" t="s">
        <v>42</v>
      </c>
      <c r="E26" s="3">
        <v>63219</v>
      </c>
      <c r="F26" s="122"/>
      <c r="G26" s="89"/>
      <c r="H26" s="127"/>
      <c r="I26" s="81"/>
      <c r="J26" s="122"/>
      <c r="K26" s="89"/>
      <c r="L26" s="127"/>
      <c r="M26" s="81"/>
      <c r="N26" s="88"/>
      <c r="O26" s="89"/>
      <c r="P26" s="81"/>
      <c r="Q26" s="81"/>
      <c r="R26" s="37"/>
      <c r="S26" s="35"/>
      <c r="T26" s="91"/>
      <c r="U26" s="81"/>
      <c r="V26" s="92"/>
      <c r="W26" s="89"/>
      <c r="X26" s="91"/>
      <c r="Y26" s="81"/>
      <c r="Z26" s="92"/>
      <c r="AA26" s="89"/>
      <c r="AB26" s="91"/>
      <c r="AC26" s="81"/>
      <c r="AE26" s="204"/>
    </row>
    <row r="27" spans="1:41" s="3" customFormat="1" x14ac:dyDescent="0.3">
      <c r="A27" s="204"/>
      <c r="B27" s="3" t="s">
        <v>345</v>
      </c>
      <c r="C27" s="3" t="s">
        <v>42</v>
      </c>
      <c r="D27" s="3" t="s">
        <v>42</v>
      </c>
      <c r="E27" s="3">
        <v>65711</v>
      </c>
      <c r="F27" s="122"/>
      <c r="G27" s="89"/>
      <c r="H27" s="127"/>
      <c r="I27" s="81"/>
      <c r="J27" s="122"/>
      <c r="K27" s="89"/>
      <c r="L27" s="127"/>
      <c r="M27" s="81"/>
      <c r="N27" s="88"/>
      <c r="O27" s="89"/>
      <c r="P27" s="81"/>
      <c r="Q27" s="81"/>
      <c r="R27" s="37"/>
      <c r="S27" s="35"/>
      <c r="T27" s="91"/>
      <c r="U27" s="81"/>
      <c r="V27" s="92"/>
      <c r="W27" s="89"/>
      <c r="X27" s="91"/>
      <c r="Y27" s="81"/>
      <c r="Z27" s="92"/>
      <c r="AA27" s="89"/>
      <c r="AB27" s="91"/>
      <c r="AC27" s="81"/>
      <c r="AE27" s="204"/>
    </row>
    <row r="28" spans="1:41" s="3" customFormat="1" x14ac:dyDescent="0.3">
      <c r="A28" s="204"/>
      <c r="B28" s="3" t="s">
        <v>289</v>
      </c>
      <c r="C28" s="3" t="s">
        <v>42</v>
      </c>
      <c r="D28" s="3" t="s">
        <v>42</v>
      </c>
      <c r="E28" s="3">
        <v>65298</v>
      </c>
      <c r="F28" s="122"/>
      <c r="G28" s="89"/>
      <c r="H28" s="127"/>
      <c r="I28" s="81"/>
      <c r="J28" s="122"/>
      <c r="K28" s="89"/>
      <c r="L28" s="127"/>
      <c r="M28" s="81"/>
      <c r="N28" s="88"/>
      <c r="O28" s="89"/>
      <c r="P28" s="81"/>
      <c r="Q28" s="81"/>
      <c r="R28" s="37"/>
      <c r="S28" s="35"/>
      <c r="T28" s="91"/>
      <c r="U28" s="81"/>
      <c r="V28" s="92"/>
      <c r="W28" s="89"/>
      <c r="X28" s="91"/>
      <c r="Y28" s="81"/>
      <c r="Z28" s="92"/>
      <c r="AA28" s="89"/>
      <c r="AB28" s="91"/>
      <c r="AC28" s="81"/>
      <c r="AE28" s="204"/>
    </row>
    <row r="29" spans="1:41" s="3" customFormat="1" x14ac:dyDescent="0.3">
      <c r="A29" s="204"/>
      <c r="B29" s="3" t="s">
        <v>290</v>
      </c>
      <c r="C29" s="3" t="s">
        <v>42</v>
      </c>
      <c r="D29" s="3" t="s">
        <v>42</v>
      </c>
      <c r="E29" s="3">
        <v>64892</v>
      </c>
      <c r="F29" s="122"/>
      <c r="G29" s="89"/>
      <c r="H29" s="127"/>
      <c r="I29" s="81"/>
      <c r="J29" s="122"/>
      <c r="K29" s="89"/>
      <c r="L29" s="127"/>
      <c r="M29" s="81"/>
      <c r="N29" s="88"/>
      <c r="O29" s="89"/>
      <c r="P29" s="81"/>
      <c r="Q29" s="81"/>
      <c r="R29" s="37"/>
      <c r="S29" s="35"/>
      <c r="T29" s="91"/>
      <c r="U29" s="81"/>
      <c r="V29" s="92"/>
      <c r="W29" s="89"/>
      <c r="X29" s="91"/>
      <c r="Y29" s="81"/>
      <c r="Z29" s="92"/>
      <c r="AA29" s="89"/>
      <c r="AB29" s="91"/>
      <c r="AC29" s="81"/>
      <c r="AE29" s="204"/>
    </row>
    <row r="30" spans="1:41" s="3" customFormat="1" x14ac:dyDescent="0.3">
      <c r="A30" s="204"/>
      <c r="B30" s="3" t="s">
        <v>346</v>
      </c>
      <c r="C30" s="3" t="s">
        <v>42</v>
      </c>
      <c r="D30" s="3" t="s">
        <v>42</v>
      </c>
      <c r="E30" s="3">
        <v>65297</v>
      </c>
      <c r="F30" s="122"/>
      <c r="G30" s="89"/>
      <c r="H30" s="127"/>
      <c r="I30" s="81"/>
      <c r="J30" s="122"/>
      <c r="K30" s="89"/>
      <c r="L30" s="127"/>
      <c r="M30" s="81"/>
      <c r="N30" s="88"/>
      <c r="O30" s="89"/>
      <c r="P30" s="81"/>
      <c r="Q30" s="81"/>
      <c r="R30" s="37"/>
      <c r="S30" s="35"/>
      <c r="T30" s="91"/>
      <c r="U30" s="81"/>
      <c r="V30" s="92"/>
      <c r="W30" s="89"/>
      <c r="X30" s="91"/>
      <c r="Y30" s="81"/>
      <c r="Z30" s="92"/>
      <c r="AA30" s="89"/>
      <c r="AB30" s="91"/>
      <c r="AC30" s="81"/>
      <c r="AE30" s="204"/>
    </row>
    <row r="31" spans="1:41" s="3" customFormat="1" x14ac:dyDescent="0.3">
      <c r="A31" s="204"/>
      <c r="B31" s="3" t="s">
        <v>347</v>
      </c>
      <c r="C31" s="3" t="s">
        <v>42</v>
      </c>
      <c r="D31" s="3" t="s">
        <v>42</v>
      </c>
      <c r="E31" s="3">
        <v>64893</v>
      </c>
      <c r="F31" s="122"/>
      <c r="G31" s="89"/>
      <c r="H31" s="127"/>
      <c r="I31" s="81"/>
      <c r="J31" s="122"/>
      <c r="K31" s="89"/>
      <c r="L31" s="127"/>
      <c r="M31" s="81"/>
      <c r="N31" s="88"/>
      <c r="O31" s="89"/>
      <c r="P31" s="81"/>
      <c r="Q31" s="81"/>
      <c r="R31" s="37"/>
      <c r="S31" s="35"/>
      <c r="T31" s="91"/>
      <c r="U31" s="81"/>
      <c r="V31" s="92"/>
      <c r="W31" s="89"/>
      <c r="X31" s="91"/>
      <c r="Y31" s="81"/>
      <c r="Z31" s="92"/>
      <c r="AA31" s="89"/>
      <c r="AB31" s="91"/>
      <c r="AC31" s="81"/>
      <c r="AE31" s="204"/>
    </row>
    <row r="32" spans="1:41" s="3" customFormat="1" x14ac:dyDescent="0.3">
      <c r="A32" s="204"/>
      <c r="B32" s="3" t="s">
        <v>301</v>
      </c>
      <c r="C32" s="3" t="s">
        <v>42</v>
      </c>
      <c r="D32" s="3" t="s">
        <v>42</v>
      </c>
      <c r="E32" s="3">
        <v>59893</v>
      </c>
      <c r="F32" s="122"/>
      <c r="G32" s="89"/>
      <c r="H32" s="127"/>
      <c r="I32" s="81"/>
      <c r="J32" s="122"/>
      <c r="K32" s="89"/>
      <c r="L32" s="127"/>
      <c r="M32" s="81"/>
      <c r="N32" s="88"/>
      <c r="O32" s="89"/>
      <c r="P32" s="81"/>
      <c r="Q32" s="81"/>
      <c r="R32" s="37"/>
      <c r="S32" s="35"/>
      <c r="T32" s="91"/>
      <c r="U32" s="81"/>
      <c r="V32" s="92"/>
      <c r="W32" s="89"/>
      <c r="X32" s="91"/>
      <c r="Y32" s="81"/>
      <c r="Z32" s="92"/>
      <c r="AA32" s="89"/>
      <c r="AB32" s="91"/>
      <c r="AC32" s="81"/>
      <c r="AE32" s="204"/>
    </row>
    <row r="33" spans="1:31" s="3" customFormat="1" x14ac:dyDescent="0.3">
      <c r="A33" s="204"/>
      <c r="B33" s="3" t="s">
        <v>348</v>
      </c>
      <c r="C33" s="3" t="s">
        <v>42</v>
      </c>
      <c r="D33" s="3" t="s">
        <v>42</v>
      </c>
      <c r="E33" s="3">
        <v>64873</v>
      </c>
      <c r="F33" s="122"/>
      <c r="G33" s="89"/>
      <c r="H33" s="127"/>
      <c r="I33" s="81"/>
      <c r="J33" s="122"/>
      <c r="K33" s="89"/>
      <c r="L33" s="127"/>
      <c r="M33" s="81"/>
      <c r="N33" s="88"/>
      <c r="O33" s="89"/>
      <c r="P33" s="81"/>
      <c r="Q33" s="81"/>
      <c r="R33" s="37"/>
      <c r="S33" s="35"/>
      <c r="T33" s="91"/>
      <c r="U33" s="81"/>
      <c r="V33" s="92"/>
      <c r="W33" s="89"/>
      <c r="X33" s="91"/>
      <c r="Y33" s="81"/>
      <c r="Z33" s="92"/>
      <c r="AA33" s="89"/>
      <c r="AB33" s="91"/>
      <c r="AC33" s="81"/>
      <c r="AE33" s="204"/>
    </row>
    <row r="34" spans="1:31" s="3" customFormat="1" x14ac:dyDescent="0.3">
      <c r="A34" s="204"/>
      <c r="B34" s="3" t="s">
        <v>291</v>
      </c>
      <c r="C34" s="3" t="s">
        <v>42</v>
      </c>
      <c r="D34" s="3" t="s">
        <v>42</v>
      </c>
      <c r="E34" s="3">
        <v>64551</v>
      </c>
      <c r="F34" s="122"/>
      <c r="G34" s="89"/>
      <c r="H34" s="127"/>
      <c r="I34" s="81"/>
      <c r="J34" s="122"/>
      <c r="K34" s="89"/>
      <c r="L34" s="127"/>
      <c r="M34" s="81"/>
      <c r="N34" s="88"/>
      <c r="O34" s="89"/>
      <c r="P34" s="81"/>
      <c r="Q34" s="81"/>
      <c r="R34" s="37"/>
      <c r="S34" s="35"/>
      <c r="T34" s="91"/>
      <c r="U34" s="81"/>
      <c r="V34" s="92"/>
      <c r="W34" s="89"/>
      <c r="X34" s="91"/>
      <c r="Y34" s="81"/>
      <c r="Z34" s="92"/>
      <c r="AA34" s="89"/>
      <c r="AB34" s="91"/>
      <c r="AC34" s="81"/>
      <c r="AE34" s="204"/>
    </row>
    <row r="35" spans="1:31" s="3" customFormat="1" x14ac:dyDescent="0.3">
      <c r="A35" s="204"/>
      <c r="B35" s="3" t="s">
        <v>349</v>
      </c>
      <c r="C35" s="3" t="s">
        <v>42</v>
      </c>
      <c r="D35" s="3" t="s">
        <v>42</v>
      </c>
      <c r="E35" s="3">
        <v>64874</v>
      </c>
      <c r="F35" s="122"/>
      <c r="G35" s="89"/>
      <c r="H35" s="127"/>
      <c r="I35" s="81"/>
      <c r="J35" s="122"/>
      <c r="K35" s="89"/>
      <c r="L35" s="127"/>
      <c r="M35" s="81"/>
      <c r="N35" s="88"/>
      <c r="O35" s="89"/>
      <c r="P35" s="81"/>
      <c r="Q35" s="81"/>
      <c r="R35" s="37"/>
      <c r="S35" s="35"/>
      <c r="T35" s="91"/>
      <c r="U35" s="81"/>
      <c r="V35" s="92"/>
      <c r="W35" s="89"/>
      <c r="X35" s="91"/>
      <c r="Y35" s="81"/>
      <c r="Z35" s="92"/>
      <c r="AA35" s="89"/>
      <c r="AB35" s="91"/>
      <c r="AC35" s="81"/>
      <c r="AE35" s="204"/>
    </row>
    <row r="36" spans="1:31" s="3" customFormat="1" x14ac:dyDescent="0.3">
      <c r="A36" s="204"/>
      <c r="B36" s="3" t="s">
        <v>350</v>
      </c>
      <c r="C36" s="3" t="s">
        <v>42</v>
      </c>
      <c r="D36" s="3" t="s">
        <v>42</v>
      </c>
      <c r="E36" s="3">
        <v>64891</v>
      </c>
      <c r="F36" s="122"/>
      <c r="G36" s="89"/>
      <c r="H36" s="127"/>
      <c r="I36" s="81"/>
      <c r="J36" s="122"/>
      <c r="K36" s="89"/>
      <c r="L36" s="127"/>
      <c r="M36" s="81"/>
      <c r="N36" s="88"/>
      <c r="O36" s="89"/>
      <c r="P36" s="81"/>
      <c r="Q36" s="81"/>
      <c r="R36" s="37"/>
      <c r="S36" s="35"/>
      <c r="T36" s="91"/>
      <c r="U36" s="81"/>
      <c r="V36" s="92"/>
      <c r="W36" s="89"/>
      <c r="X36" s="91"/>
      <c r="Y36" s="81"/>
      <c r="Z36" s="92"/>
      <c r="AA36" s="89"/>
      <c r="AB36" s="91"/>
      <c r="AC36" s="81"/>
      <c r="AE36" s="204"/>
    </row>
    <row r="37" spans="1:31" s="3" customFormat="1" x14ac:dyDescent="0.3">
      <c r="A37" s="204"/>
      <c r="B37" s="3" t="s">
        <v>351</v>
      </c>
      <c r="C37" s="3" t="s">
        <v>42</v>
      </c>
      <c r="D37" s="3" t="s">
        <v>42</v>
      </c>
      <c r="E37" s="3">
        <v>64871</v>
      </c>
      <c r="F37" s="122"/>
      <c r="G37" s="89"/>
      <c r="H37" s="127"/>
      <c r="I37" s="81"/>
      <c r="J37" s="122"/>
      <c r="K37" s="89"/>
      <c r="L37" s="127"/>
      <c r="M37" s="81"/>
      <c r="N37" s="88"/>
      <c r="O37" s="89"/>
      <c r="P37" s="81"/>
      <c r="Q37" s="81"/>
      <c r="R37" s="37"/>
      <c r="S37" s="35"/>
      <c r="T37" s="91"/>
      <c r="U37" s="81"/>
      <c r="V37" s="92"/>
      <c r="W37" s="89"/>
      <c r="X37" s="91"/>
      <c r="Y37" s="81"/>
      <c r="Z37" s="92"/>
      <c r="AA37" s="89"/>
      <c r="AB37" s="91"/>
      <c r="AC37" s="81"/>
      <c r="AE37" s="204"/>
    </row>
    <row r="38" spans="1:31" s="3" customFormat="1" x14ac:dyDescent="0.3">
      <c r="A38" s="204"/>
      <c r="B38" s="3" t="s">
        <v>292</v>
      </c>
      <c r="C38" s="3" t="s">
        <v>42</v>
      </c>
      <c r="D38" s="3" t="s">
        <v>42</v>
      </c>
      <c r="E38" s="3">
        <v>65705</v>
      </c>
      <c r="F38" s="122"/>
      <c r="G38" s="89"/>
      <c r="H38" s="127"/>
      <c r="I38" s="81"/>
      <c r="J38" s="122"/>
      <c r="K38" s="89"/>
      <c r="L38" s="127"/>
      <c r="M38" s="81"/>
      <c r="N38" s="88"/>
      <c r="O38" s="89"/>
      <c r="P38" s="81"/>
      <c r="Q38" s="81"/>
      <c r="R38" s="37"/>
      <c r="S38" s="35"/>
      <c r="T38" s="91"/>
      <c r="U38" s="81"/>
      <c r="V38" s="92"/>
      <c r="W38" s="89"/>
      <c r="X38" s="91"/>
      <c r="Y38" s="81"/>
      <c r="Z38" s="92"/>
      <c r="AA38" s="89"/>
      <c r="AB38" s="91"/>
      <c r="AC38" s="81"/>
      <c r="AE38" s="204"/>
    </row>
    <row r="39" spans="1:31" s="3" customFormat="1" x14ac:dyDescent="0.3">
      <c r="A39" s="204"/>
      <c r="B39" s="3" t="s">
        <v>352</v>
      </c>
      <c r="C39" s="3" t="s">
        <v>42</v>
      </c>
      <c r="D39" s="3" t="s">
        <v>42</v>
      </c>
      <c r="E39" s="3">
        <v>60025</v>
      </c>
      <c r="F39" s="122"/>
      <c r="G39" s="89"/>
      <c r="H39" s="127"/>
      <c r="I39" s="81"/>
      <c r="J39" s="122"/>
      <c r="K39" s="89"/>
      <c r="L39" s="127"/>
      <c r="M39" s="81"/>
      <c r="N39" s="88"/>
      <c r="O39" s="89"/>
      <c r="P39" s="81"/>
      <c r="Q39" s="81"/>
      <c r="R39" s="37"/>
      <c r="S39" s="35"/>
      <c r="T39" s="91"/>
      <c r="U39" s="81"/>
      <c r="V39" s="92"/>
      <c r="W39" s="89"/>
      <c r="X39" s="91"/>
      <c r="Y39" s="81"/>
      <c r="Z39" s="92"/>
      <c r="AA39" s="89"/>
      <c r="AB39" s="91"/>
      <c r="AC39" s="81"/>
      <c r="AE39" s="204"/>
    </row>
    <row r="40" spans="1:31" s="3" customFormat="1" x14ac:dyDescent="0.3">
      <c r="A40" s="204"/>
      <c r="F40" s="122"/>
      <c r="G40" s="89"/>
      <c r="H40" s="127"/>
      <c r="I40" s="81"/>
      <c r="J40" s="122"/>
      <c r="K40" s="89"/>
      <c r="L40" s="127"/>
      <c r="M40" s="81"/>
      <c r="N40" s="88"/>
      <c r="O40" s="89"/>
      <c r="P40" s="81"/>
      <c r="Q40" s="81"/>
      <c r="R40" s="37"/>
      <c r="S40" s="35"/>
      <c r="T40" s="91"/>
      <c r="U40" s="81"/>
      <c r="V40" s="92"/>
      <c r="W40" s="89"/>
      <c r="X40" s="91"/>
      <c r="Y40" s="81"/>
      <c r="Z40" s="92"/>
      <c r="AA40" s="89"/>
      <c r="AB40" s="91"/>
      <c r="AC40" s="81"/>
      <c r="AE40" s="204"/>
    </row>
    <row r="41" spans="1:31" s="3" customFormat="1" x14ac:dyDescent="0.3">
      <c r="A41" s="204"/>
      <c r="B41" s="3" t="s">
        <v>293</v>
      </c>
      <c r="C41" s="3" t="s">
        <v>42</v>
      </c>
      <c r="D41" s="3" t="s">
        <v>42</v>
      </c>
      <c r="E41" s="3">
        <v>64150</v>
      </c>
      <c r="F41" s="122"/>
      <c r="G41" s="89"/>
      <c r="H41" s="127"/>
      <c r="I41" s="81"/>
      <c r="J41" s="122"/>
      <c r="K41" s="89"/>
      <c r="L41" s="127"/>
      <c r="M41" s="81"/>
      <c r="N41" s="88"/>
      <c r="O41" s="89"/>
      <c r="P41" s="81"/>
      <c r="Q41" s="81"/>
      <c r="R41" s="37"/>
      <c r="S41" s="35"/>
      <c r="T41" s="91"/>
      <c r="U41" s="81"/>
      <c r="V41" s="92"/>
      <c r="W41" s="89"/>
      <c r="X41" s="91"/>
      <c r="Y41" s="81"/>
      <c r="Z41" s="92"/>
      <c r="AA41" s="89"/>
      <c r="AB41" s="91"/>
      <c r="AC41" s="81"/>
      <c r="AE41" s="204"/>
    </row>
    <row r="42" spans="1:31" s="3" customFormat="1" x14ac:dyDescent="0.3">
      <c r="A42" s="204"/>
      <c r="B42" s="3" t="s">
        <v>353</v>
      </c>
      <c r="C42" s="3" t="s">
        <v>42</v>
      </c>
      <c r="D42" s="3" t="s">
        <v>42</v>
      </c>
      <c r="E42" s="3">
        <v>64148</v>
      </c>
      <c r="F42" s="122"/>
      <c r="G42" s="89"/>
      <c r="H42" s="127"/>
      <c r="I42" s="81"/>
      <c r="J42" s="122"/>
      <c r="K42" s="89"/>
      <c r="L42" s="127"/>
      <c r="M42" s="81"/>
      <c r="N42" s="88"/>
      <c r="O42" s="89"/>
      <c r="P42" s="81"/>
      <c r="Q42" s="81"/>
      <c r="R42" s="37"/>
      <c r="S42" s="35"/>
      <c r="T42" s="91"/>
      <c r="U42" s="81"/>
      <c r="V42" s="92"/>
      <c r="W42" s="89"/>
      <c r="X42" s="91"/>
      <c r="Y42" s="81"/>
      <c r="Z42" s="92"/>
      <c r="AA42" s="89"/>
      <c r="AB42" s="91"/>
      <c r="AC42" s="81"/>
      <c r="AE42" s="204"/>
    </row>
    <row r="43" spans="1:31" s="3" customFormat="1" x14ac:dyDescent="0.3">
      <c r="A43" s="204"/>
      <c r="B43" s="3" t="s">
        <v>294</v>
      </c>
      <c r="C43" s="3" t="s">
        <v>42</v>
      </c>
      <c r="D43" s="3" t="s">
        <v>42</v>
      </c>
      <c r="E43" s="3">
        <v>64149</v>
      </c>
      <c r="F43" s="122"/>
      <c r="G43" s="89"/>
      <c r="H43" s="127"/>
      <c r="I43" s="81"/>
      <c r="J43" s="122"/>
      <c r="K43" s="89"/>
      <c r="L43" s="127"/>
      <c r="M43" s="81"/>
      <c r="N43" s="88"/>
      <c r="O43" s="89"/>
      <c r="P43" s="81"/>
      <c r="Q43" s="81"/>
      <c r="R43" s="37"/>
      <c r="S43" s="35"/>
      <c r="T43" s="91"/>
      <c r="U43" s="81"/>
      <c r="V43" s="92"/>
      <c r="W43" s="89"/>
      <c r="X43" s="91"/>
      <c r="Y43" s="81"/>
      <c r="Z43" s="92"/>
      <c r="AA43" s="89"/>
      <c r="AB43" s="91"/>
      <c r="AC43" s="81"/>
      <c r="AE43" s="204"/>
    </row>
    <row r="44" spans="1:31" s="3" customFormat="1" x14ac:dyDescent="0.3">
      <c r="A44" s="204"/>
      <c r="B44" s="3" t="s">
        <v>354</v>
      </c>
      <c r="C44" s="3" t="s">
        <v>42</v>
      </c>
      <c r="D44" s="3" t="s">
        <v>42</v>
      </c>
      <c r="E44" s="3">
        <v>64147</v>
      </c>
      <c r="F44" s="122"/>
      <c r="G44" s="89"/>
      <c r="H44" s="127"/>
      <c r="I44" s="81"/>
      <c r="J44" s="122"/>
      <c r="K44" s="89"/>
      <c r="L44" s="127"/>
      <c r="M44" s="81"/>
      <c r="N44" s="88"/>
      <c r="O44" s="89"/>
      <c r="P44" s="81"/>
      <c r="Q44" s="81"/>
      <c r="R44" s="37"/>
      <c r="S44" s="35"/>
      <c r="T44" s="91"/>
      <c r="U44" s="81"/>
      <c r="V44" s="92"/>
      <c r="W44" s="89"/>
      <c r="X44" s="91"/>
      <c r="Y44" s="81"/>
      <c r="Z44" s="92"/>
      <c r="AA44" s="89"/>
      <c r="AB44" s="91"/>
      <c r="AC44" s="81"/>
      <c r="AE44" s="204"/>
    </row>
    <row r="45" spans="1:31" s="3" customFormat="1" x14ac:dyDescent="0.3">
      <c r="A45" s="204"/>
      <c r="B45" s="3" t="s">
        <v>295</v>
      </c>
      <c r="C45" s="3" t="s">
        <v>42</v>
      </c>
      <c r="D45" s="3" t="s">
        <v>42</v>
      </c>
      <c r="E45" s="3">
        <v>64320</v>
      </c>
      <c r="F45" s="122"/>
      <c r="G45" s="89"/>
      <c r="H45" s="127"/>
      <c r="I45" s="81"/>
      <c r="J45" s="122"/>
      <c r="K45" s="89"/>
      <c r="L45" s="127"/>
      <c r="M45" s="81"/>
      <c r="N45" s="88"/>
      <c r="O45" s="89"/>
      <c r="P45" s="81"/>
      <c r="Q45" s="81"/>
      <c r="R45" s="37"/>
      <c r="S45" s="35"/>
      <c r="T45" s="91"/>
      <c r="U45" s="81"/>
      <c r="V45" s="92"/>
      <c r="W45" s="89"/>
      <c r="X45" s="91"/>
      <c r="Y45" s="81"/>
      <c r="Z45" s="92"/>
      <c r="AA45" s="89"/>
      <c r="AB45" s="91"/>
      <c r="AC45" s="81"/>
      <c r="AE45" s="204"/>
    </row>
    <row r="46" spans="1:31" s="3" customFormat="1" x14ac:dyDescent="0.3">
      <c r="A46" s="204"/>
      <c r="B46" s="3" t="s">
        <v>355</v>
      </c>
      <c r="C46" s="3" t="s">
        <v>42</v>
      </c>
      <c r="D46" s="3" t="s">
        <v>42</v>
      </c>
      <c r="E46" s="3">
        <v>64321</v>
      </c>
      <c r="F46" s="122"/>
      <c r="G46" s="89"/>
      <c r="H46" s="127"/>
      <c r="I46" s="81"/>
      <c r="J46" s="122"/>
      <c r="K46" s="89"/>
      <c r="L46" s="127"/>
      <c r="M46" s="81"/>
      <c r="N46" s="88"/>
      <c r="O46" s="89"/>
      <c r="P46" s="81"/>
      <c r="Q46" s="81"/>
      <c r="R46" s="37"/>
      <c r="S46" s="35"/>
      <c r="T46" s="91"/>
      <c r="U46" s="81"/>
      <c r="V46" s="92"/>
      <c r="W46" s="89"/>
      <c r="X46" s="91"/>
      <c r="Y46" s="81"/>
      <c r="Z46" s="92"/>
      <c r="AA46" s="89"/>
      <c r="AB46" s="91"/>
      <c r="AC46" s="81"/>
      <c r="AE46" s="204"/>
    </row>
    <row r="47" spans="1:31" s="3" customFormat="1" x14ac:dyDescent="0.3">
      <c r="A47" s="204"/>
      <c r="B47" s="3" t="s">
        <v>296</v>
      </c>
      <c r="C47" s="3" t="s">
        <v>42</v>
      </c>
      <c r="D47" s="3" t="s">
        <v>42</v>
      </c>
      <c r="E47" s="3">
        <v>64895</v>
      </c>
      <c r="F47" s="122"/>
      <c r="G47" s="89"/>
      <c r="H47" s="127"/>
      <c r="I47" s="81"/>
      <c r="J47" s="122"/>
      <c r="K47" s="89"/>
      <c r="L47" s="127"/>
      <c r="M47" s="81"/>
      <c r="N47" s="88"/>
      <c r="O47" s="89"/>
      <c r="P47" s="81"/>
      <c r="Q47" s="81"/>
      <c r="R47" s="37"/>
      <c r="S47" s="35"/>
      <c r="T47" s="91"/>
      <c r="U47" s="81"/>
      <c r="V47" s="92"/>
      <c r="W47" s="89"/>
      <c r="X47" s="91"/>
      <c r="Y47" s="81"/>
      <c r="Z47" s="92"/>
      <c r="AA47" s="89"/>
      <c r="AB47" s="91"/>
      <c r="AC47" s="81"/>
      <c r="AE47" s="204"/>
    </row>
    <row r="48" spans="1:31" s="3" customFormat="1" x14ac:dyDescent="0.3">
      <c r="A48" s="204"/>
      <c r="B48" s="3" t="s">
        <v>356</v>
      </c>
      <c r="C48" s="3" t="s">
        <v>42</v>
      </c>
      <c r="D48" s="3" t="s">
        <v>42</v>
      </c>
      <c r="E48" s="3">
        <v>65703</v>
      </c>
      <c r="F48" s="122"/>
      <c r="G48" s="89"/>
      <c r="H48" s="127"/>
      <c r="I48" s="81"/>
      <c r="J48" s="122"/>
      <c r="K48" s="89"/>
      <c r="L48" s="127"/>
      <c r="M48" s="81"/>
      <c r="N48" s="88"/>
      <c r="O48" s="89"/>
      <c r="P48" s="81"/>
      <c r="Q48" s="81"/>
      <c r="R48" s="37"/>
      <c r="S48" s="35"/>
      <c r="T48" s="91"/>
      <c r="U48" s="81"/>
      <c r="V48" s="92"/>
      <c r="W48" s="89"/>
      <c r="X48" s="91"/>
      <c r="Y48" s="81"/>
      <c r="Z48" s="92"/>
      <c r="AA48" s="89"/>
      <c r="AB48" s="91"/>
      <c r="AC48" s="81"/>
      <c r="AE48" s="204"/>
    </row>
    <row r="49" spans="1:31" s="3" customFormat="1" x14ac:dyDescent="0.3">
      <c r="A49" s="204"/>
      <c r="B49" s="3" t="s">
        <v>297</v>
      </c>
      <c r="C49" s="3" t="s">
        <v>42</v>
      </c>
      <c r="D49" s="3" t="s">
        <v>42</v>
      </c>
      <c r="E49" s="3">
        <v>65704</v>
      </c>
      <c r="F49" s="122"/>
      <c r="G49" s="89"/>
      <c r="H49" s="127"/>
      <c r="I49" s="81"/>
      <c r="J49" s="122"/>
      <c r="K49" s="89"/>
      <c r="L49" s="127"/>
      <c r="M49" s="81"/>
      <c r="N49" s="88"/>
      <c r="O49" s="89"/>
      <c r="P49" s="81"/>
      <c r="Q49" s="81"/>
      <c r="R49" s="37"/>
      <c r="S49" s="35"/>
      <c r="T49" s="91"/>
      <c r="U49" s="81"/>
      <c r="V49" s="92"/>
      <c r="W49" s="89"/>
      <c r="X49" s="91"/>
      <c r="Y49" s="81"/>
      <c r="Z49" s="92"/>
      <c r="AA49" s="89"/>
      <c r="AB49" s="91"/>
      <c r="AC49" s="81"/>
      <c r="AE49" s="204"/>
    </row>
    <row r="50" spans="1:31" s="3" customFormat="1" x14ac:dyDescent="0.3">
      <c r="A50" s="204"/>
      <c r="B50" s="3" t="s">
        <v>357</v>
      </c>
      <c r="C50" s="3" t="s">
        <v>42</v>
      </c>
      <c r="D50" s="3" t="s">
        <v>42</v>
      </c>
      <c r="E50" s="3">
        <v>63221</v>
      </c>
      <c r="F50" s="122"/>
      <c r="G50" s="89"/>
      <c r="H50" s="127"/>
      <c r="I50" s="81"/>
      <c r="J50" s="122"/>
      <c r="K50" s="89"/>
      <c r="L50" s="127"/>
      <c r="M50" s="81"/>
      <c r="N50" s="88"/>
      <c r="O50" s="89"/>
      <c r="P50" s="81"/>
      <c r="Q50" s="81"/>
      <c r="R50" s="37"/>
      <c r="S50" s="35"/>
      <c r="T50" s="91"/>
      <c r="U50" s="81"/>
      <c r="V50" s="92"/>
      <c r="W50" s="89"/>
      <c r="X50" s="91"/>
      <c r="Y50" s="81"/>
      <c r="Z50" s="92"/>
      <c r="AA50" s="89"/>
      <c r="AB50" s="91"/>
      <c r="AC50" s="81"/>
      <c r="AE50" s="204"/>
    </row>
    <row r="51" spans="1:31" s="3" customFormat="1" x14ac:dyDescent="0.3">
      <c r="A51" s="204"/>
      <c r="B51" s="3" t="s">
        <v>358</v>
      </c>
      <c r="C51" s="3" t="s">
        <v>42</v>
      </c>
      <c r="D51" s="3" t="s">
        <v>42</v>
      </c>
      <c r="E51" s="3">
        <v>64896</v>
      </c>
      <c r="F51" s="122"/>
      <c r="G51" s="89"/>
      <c r="H51" s="127"/>
      <c r="I51" s="81"/>
      <c r="J51" s="122"/>
      <c r="K51" s="89"/>
      <c r="L51" s="127"/>
      <c r="M51" s="81"/>
      <c r="N51" s="88"/>
      <c r="O51" s="89"/>
      <c r="P51" s="81"/>
      <c r="Q51" s="81"/>
      <c r="R51" s="37"/>
      <c r="S51" s="35"/>
      <c r="T51" s="91"/>
      <c r="U51" s="81"/>
      <c r="V51" s="92"/>
      <c r="W51" s="89"/>
      <c r="X51" s="91"/>
      <c r="Y51" s="81"/>
      <c r="Z51" s="92"/>
      <c r="AA51" s="89"/>
      <c r="AB51" s="91"/>
      <c r="AC51" s="81"/>
      <c r="AE51" s="204"/>
    </row>
    <row r="52" spans="1:31" s="3" customFormat="1" x14ac:dyDescent="0.3">
      <c r="A52" s="204"/>
      <c r="B52" s="3" t="s">
        <v>359</v>
      </c>
      <c r="C52" s="3" t="s">
        <v>42</v>
      </c>
      <c r="D52" s="3" t="s">
        <v>42</v>
      </c>
      <c r="E52" s="3">
        <v>65706</v>
      </c>
      <c r="F52" s="122"/>
      <c r="G52" s="89"/>
      <c r="H52" s="127"/>
      <c r="I52" s="81"/>
      <c r="J52" s="122"/>
      <c r="K52" s="89"/>
      <c r="L52" s="127"/>
      <c r="M52" s="81"/>
      <c r="N52" s="88"/>
      <c r="O52" s="89"/>
      <c r="P52" s="81"/>
      <c r="Q52" s="81"/>
      <c r="R52" s="37"/>
      <c r="S52" s="35"/>
      <c r="T52" s="91"/>
      <c r="U52" s="81"/>
      <c r="V52" s="92"/>
      <c r="W52" s="89"/>
      <c r="X52" s="91"/>
      <c r="Y52" s="81"/>
      <c r="Z52" s="92"/>
      <c r="AA52" s="89"/>
      <c r="AB52" s="91"/>
      <c r="AC52" s="81"/>
      <c r="AE52" s="204"/>
    </row>
    <row r="53" spans="1:31" s="3" customFormat="1" x14ac:dyDescent="0.3">
      <c r="A53" s="204"/>
      <c r="B53" s="3" t="s">
        <v>298</v>
      </c>
      <c r="C53" s="3" t="s">
        <v>42</v>
      </c>
      <c r="D53" s="3" t="s">
        <v>42</v>
      </c>
      <c r="E53" s="3">
        <v>57519</v>
      </c>
      <c r="F53" s="122"/>
      <c r="G53" s="89"/>
      <c r="H53" s="127"/>
      <c r="I53" s="81"/>
      <c r="J53" s="122"/>
      <c r="K53" s="89"/>
      <c r="L53" s="127"/>
      <c r="M53" s="81"/>
      <c r="N53" s="88"/>
      <c r="O53" s="89"/>
      <c r="P53" s="81"/>
      <c r="Q53" s="81"/>
      <c r="R53" s="37"/>
      <c r="S53" s="35"/>
      <c r="T53" s="91"/>
      <c r="U53" s="81"/>
      <c r="V53" s="92"/>
      <c r="W53" s="89"/>
      <c r="X53" s="91"/>
      <c r="Y53" s="81"/>
      <c r="Z53" s="92"/>
      <c r="AA53" s="89"/>
      <c r="AB53" s="91"/>
      <c r="AC53" s="81"/>
      <c r="AE53" s="204"/>
    </row>
    <row r="54" spans="1:31" s="3" customFormat="1" x14ac:dyDescent="0.3">
      <c r="A54" s="204"/>
      <c r="B54" s="3" t="s">
        <v>360</v>
      </c>
      <c r="C54" s="3" t="s">
        <v>42</v>
      </c>
      <c r="D54" s="3" t="s">
        <v>42</v>
      </c>
      <c r="E54" s="3">
        <v>57517</v>
      </c>
      <c r="F54" s="122"/>
      <c r="G54" s="89"/>
      <c r="H54" s="127"/>
      <c r="I54" s="81"/>
      <c r="J54" s="122"/>
      <c r="K54" s="89"/>
      <c r="L54" s="127"/>
      <c r="M54" s="81"/>
      <c r="N54" s="88"/>
      <c r="O54" s="89"/>
      <c r="P54" s="81"/>
      <c r="Q54" s="81"/>
      <c r="R54" s="37"/>
      <c r="S54" s="35"/>
      <c r="T54" s="91"/>
      <c r="U54" s="81"/>
      <c r="V54" s="92"/>
      <c r="W54" s="89"/>
      <c r="X54" s="91"/>
      <c r="Y54" s="81"/>
      <c r="Z54" s="92"/>
      <c r="AA54" s="89"/>
      <c r="AB54" s="91"/>
      <c r="AC54" s="81"/>
      <c r="AE54" s="204"/>
    </row>
    <row r="55" spans="1:31" s="3" customFormat="1" x14ac:dyDescent="0.3">
      <c r="A55" s="204"/>
      <c r="B55" s="3" t="s">
        <v>299</v>
      </c>
      <c r="C55" s="3" t="s">
        <v>42</v>
      </c>
      <c r="D55" s="3" t="s">
        <v>42</v>
      </c>
      <c r="E55" s="3">
        <v>65712</v>
      </c>
      <c r="F55" s="122"/>
      <c r="G55" s="89"/>
      <c r="H55" s="127"/>
      <c r="I55" s="81"/>
      <c r="J55" s="122"/>
      <c r="K55" s="89"/>
      <c r="L55" s="127"/>
      <c r="M55" s="81"/>
      <c r="N55" s="88"/>
      <c r="O55" s="89"/>
      <c r="P55" s="81"/>
      <c r="Q55" s="81"/>
      <c r="R55" s="37"/>
      <c r="S55" s="35"/>
      <c r="T55" s="91"/>
      <c r="U55" s="81"/>
      <c r="V55" s="92"/>
      <c r="W55" s="89"/>
      <c r="X55" s="91"/>
      <c r="Y55" s="81"/>
      <c r="Z55" s="92"/>
      <c r="AA55" s="89"/>
      <c r="AB55" s="91"/>
      <c r="AC55" s="81"/>
      <c r="AE55" s="204"/>
    </row>
    <row r="56" spans="1:31" s="3" customFormat="1" x14ac:dyDescent="0.3">
      <c r="A56" s="204"/>
      <c r="B56" s="3" t="s">
        <v>361</v>
      </c>
      <c r="C56" s="3" t="s">
        <v>42</v>
      </c>
      <c r="D56" s="3" t="s">
        <v>42</v>
      </c>
      <c r="E56" s="3">
        <v>61812</v>
      </c>
      <c r="F56" s="122"/>
      <c r="G56" s="89"/>
      <c r="H56" s="127"/>
      <c r="I56" s="81"/>
      <c r="J56" s="122"/>
      <c r="K56" s="89"/>
      <c r="L56" s="127"/>
      <c r="M56" s="81"/>
      <c r="N56" s="88"/>
      <c r="O56" s="89"/>
      <c r="P56" s="81"/>
      <c r="Q56" s="81"/>
      <c r="R56" s="37"/>
      <c r="S56" s="35"/>
      <c r="T56" s="91"/>
      <c r="U56" s="81"/>
      <c r="V56" s="92"/>
      <c r="W56" s="89"/>
      <c r="X56" s="91"/>
      <c r="Y56" s="81"/>
      <c r="Z56" s="92"/>
      <c r="AA56" s="89"/>
      <c r="AB56" s="91"/>
      <c r="AC56" s="81"/>
      <c r="AE56" s="204"/>
    </row>
    <row r="57" spans="1:31" s="3" customFormat="1" x14ac:dyDescent="0.3">
      <c r="A57" s="204"/>
      <c r="B57" s="3" t="s">
        <v>362</v>
      </c>
      <c r="C57" s="3" t="s">
        <v>42</v>
      </c>
      <c r="D57" s="3" t="s">
        <v>42</v>
      </c>
      <c r="E57" s="3">
        <v>65713</v>
      </c>
      <c r="F57" s="122"/>
      <c r="G57" s="89"/>
      <c r="H57" s="127"/>
      <c r="I57" s="81"/>
      <c r="J57" s="122"/>
      <c r="K57" s="89"/>
      <c r="L57" s="127"/>
      <c r="M57" s="81"/>
      <c r="N57" s="88"/>
      <c r="O57" s="89"/>
      <c r="P57" s="81"/>
      <c r="Q57" s="81"/>
      <c r="R57" s="37"/>
      <c r="S57" s="35"/>
      <c r="T57" s="91"/>
      <c r="U57" s="81"/>
      <c r="V57" s="92"/>
      <c r="W57" s="89"/>
      <c r="X57" s="91"/>
      <c r="Y57" s="81"/>
      <c r="Z57" s="92"/>
      <c r="AA57" s="89"/>
      <c r="AB57" s="91"/>
      <c r="AC57" s="81"/>
      <c r="AE57" s="204"/>
    </row>
    <row r="58" spans="1:31" s="3" customFormat="1" x14ac:dyDescent="0.3">
      <c r="A58" s="204"/>
      <c r="B58" s="3" t="s">
        <v>363</v>
      </c>
      <c r="C58" s="3" t="s">
        <v>42</v>
      </c>
      <c r="D58" s="3" t="s">
        <v>42</v>
      </c>
      <c r="E58" s="3">
        <v>65714</v>
      </c>
      <c r="F58" s="122"/>
      <c r="G58" s="89"/>
      <c r="H58" s="127"/>
      <c r="I58" s="81"/>
      <c r="J58" s="122"/>
      <c r="K58" s="89"/>
      <c r="L58" s="127"/>
      <c r="M58" s="81"/>
      <c r="N58" s="88"/>
      <c r="O58" s="89"/>
      <c r="P58" s="81"/>
      <c r="Q58" s="81"/>
      <c r="R58" s="37"/>
      <c r="S58" s="35"/>
      <c r="T58" s="91"/>
      <c r="U58" s="81"/>
      <c r="V58" s="92"/>
      <c r="W58" s="89"/>
      <c r="X58" s="91"/>
      <c r="Y58" s="81"/>
      <c r="Z58" s="92"/>
      <c r="AA58" s="89"/>
      <c r="AB58" s="91"/>
      <c r="AC58" s="81"/>
      <c r="AE58" s="204"/>
    </row>
    <row r="59" spans="1:31" s="3" customFormat="1" x14ac:dyDescent="0.3">
      <c r="A59" s="204"/>
      <c r="B59" s="3" t="s">
        <v>300</v>
      </c>
      <c r="C59" s="3" t="s">
        <v>42</v>
      </c>
      <c r="D59" s="3" t="s">
        <v>42</v>
      </c>
      <c r="E59" s="3">
        <v>64484</v>
      </c>
      <c r="F59" s="122"/>
      <c r="G59" s="89"/>
      <c r="H59" s="127"/>
      <c r="I59" s="81"/>
      <c r="J59" s="122"/>
      <c r="K59" s="89"/>
      <c r="L59" s="127"/>
      <c r="M59" s="81"/>
      <c r="N59" s="88"/>
      <c r="O59" s="89"/>
      <c r="P59" s="81"/>
      <c r="Q59" s="81"/>
      <c r="R59" s="37"/>
      <c r="S59" s="35"/>
      <c r="T59" s="91"/>
      <c r="U59" s="81"/>
      <c r="V59" s="92"/>
      <c r="W59" s="89"/>
      <c r="X59" s="91"/>
      <c r="Y59" s="81"/>
      <c r="Z59" s="92"/>
      <c r="AA59" s="89"/>
      <c r="AB59" s="91"/>
      <c r="AC59" s="81"/>
      <c r="AE59" s="204"/>
    </row>
    <row r="60" spans="1:31" s="3" customFormat="1" x14ac:dyDescent="0.3">
      <c r="A60" s="204"/>
      <c r="B60" s="3" t="s">
        <v>364</v>
      </c>
      <c r="C60" s="3" t="s">
        <v>42</v>
      </c>
      <c r="D60" s="3" t="s">
        <v>42</v>
      </c>
      <c r="E60" s="3">
        <v>64483</v>
      </c>
      <c r="F60" s="122"/>
      <c r="G60" s="89"/>
      <c r="H60" s="127"/>
      <c r="I60" s="81"/>
      <c r="J60" s="122"/>
      <c r="K60" s="89"/>
      <c r="L60" s="127"/>
      <c r="M60" s="81"/>
      <c r="N60" s="88"/>
      <c r="O60" s="89"/>
      <c r="P60" s="81"/>
      <c r="Q60" s="81"/>
      <c r="R60" s="37"/>
      <c r="S60" s="35"/>
      <c r="T60" s="91"/>
      <c r="U60" s="81"/>
      <c r="V60" s="92"/>
      <c r="W60" s="89"/>
      <c r="X60" s="91"/>
      <c r="Y60" s="81"/>
      <c r="Z60" s="92"/>
      <c r="AA60" s="89"/>
      <c r="AB60" s="91"/>
      <c r="AC60" s="81"/>
      <c r="AE60" s="204"/>
    </row>
    <row r="61" spans="1:31" s="3" customFormat="1" x14ac:dyDescent="0.3">
      <c r="A61" s="204"/>
      <c r="F61" s="122"/>
      <c r="G61" s="89"/>
      <c r="H61" s="127"/>
      <c r="I61" s="81"/>
      <c r="J61" s="122"/>
      <c r="K61" s="89"/>
      <c r="L61" s="127"/>
      <c r="M61" s="81"/>
      <c r="N61" s="88"/>
      <c r="O61" s="89"/>
      <c r="P61" s="81"/>
      <c r="Q61" s="81"/>
      <c r="R61" s="37"/>
      <c r="S61" s="35"/>
      <c r="T61" s="91"/>
      <c r="U61" s="81"/>
      <c r="V61" s="92"/>
      <c r="W61" s="89"/>
      <c r="X61" s="91"/>
      <c r="Y61" s="81"/>
      <c r="Z61" s="92"/>
      <c r="AA61" s="89"/>
      <c r="AB61" s="91"/>
      <c r="AC61" s="81"/>
      <c r="AE61" s="204"/>
    </row>
    <row r="62" spans="1:31" s="3" customFormat="1" x14ac:dyDescent="0.3">
      <c r="A62" s="204"/>
      <c r="B62" s="3" t="s">
        <v>197</v>
      </c>
      <c r="C62" s="3" t="s">
        <v>183</v>
      </c>
      <c r="D62" s="3" t="s">
        <v>40</v>
      </c>
      <c r="E62" s="3">
        <v>63624</v>
      </c>
      <c r="F62" s="122"/>
      <c r="G62" s="89"/>
      <c r="H62" s="127"/>
      <c r="I62" s="81"/>
      <c r="J62" s="122"/>
      <c r="K62" s="89"/>
      <c r="L62" s="127"/>
      <c r="M62" s="81"/>
      <c r="N62" s="88"/>
      <c r="O62" s="89"/>
      <c r="P62" s="81"/>
      <c r="Q62" s="81"/>
      <c r="R62" s="37"/>
      <c r="S62" s="35"/>
      <c r="T62" s="91"/>
      <c r="U62" s="81"/>
      <c r="V62" s="92"/>
      <c r="W62" s="89"/>
      <c r="X62" s="91"/>
      <c r="Y62" s="81"/>
      <c r="Z62" s="92"/>
      <c r="AA62" s="89"/>
      <c r="AB62" s="91"/>
      <c r="AC62" s="81"/>
      <c r="AE62" s="204"/>
    </row>
    <row r="63" spans="1:31" s="3" customFormat="1" x14ac:dyDescent="0.3">
      <c r="A63" s="204"/>
      <c r="B63" s="3" t="s">
        <v>199</v>
      </c>
      <c r="C63" s="3" t="s">
        <v>183</v>
      </c>
      <c r="D63" s="3" t="s">
        <v>40</v>
      </c>
      <c r="E63" s="3">
        <v>65220</v>
      </c>
      <c r="F63" s="122"/>
      <c r="G63" s="89"/>
      <c r="H63" s="127"/>
      <c r="I63" s="81"/>
      <c r="J63" s="122"/>
      <c r="K63" s="89"/>
      <c r="L63" s="127"/>
      <c r="M63" s="81"/>
      <c r="N63" s="88"/>
      <c r="O63" s="89"/>
      <c r="P63" s="81"/>
      <c r="Q63" s="81"/>
      <c r="R63" s="37"/>
      <c r="S63" s="35"/>
      <c r="T63" s="91"/>
      <c r="U63" s="81"/>
      <c r="V63" s="92"/>
      <c r="W63" s="89"/>
      <c r="X63" s="91"/>
      <c r="Y63" s="81"/>
      <c r="Z63" s="92"/>
      <c r="AA63" s="89"/>
      <c r="AB63" s="91"/>
      <c r="AC63" s="81"/>
      <c r="AE63" s="204"/>
    </row>
    <row r="64" spans="1:31" s="3" customFormat="1" x14ac:dyDescent="0.3">
      <c r="A64" s="204"/>
      <c r="B64" s="3" t="s">
        <v>365</v>
      </c>
      <c r="C64" s="3" t="s">
        <v>366</v>
      </c>
      <c r="D64" s="3" t="s">
        <v>40</v>
      </c>
      <c r="E64" s="3">
        <v>61354</v>
      </c>
      <c r="F64" s="122"/>
      <c r="G64" s="89"/>
      <c r="H64" s="127"/>
      <c r="I64" s="81"/>
      <c r="J64" s="122"/>
      <c r="K64" s="89"/>
      <c r="L64" s="127"/>
      <c r="M64" s="81"/>
      <c r="N64" s="88"/>
      <c r="O64" s="89"/>
      <c r="P64" s="81"/>
      <c r="Q64" s="81"/>
      <c r="R64" s="37"/>
      <c r="S64" s="35"/>
      <c r="T64" s="91"/>
      <c r="U64" s="81"/>
      <c r="V64" s="92"/>
      <c r="W64" s="89"/>
      <c r="X64" s="91"/>
      <c r="Y64" s="81"/>
      <c r="Z64" s="92"/>
      <c r="AA64" s="89"/>
      <c r="AB64" s="91"/>
      <c r="AC64" s="81"/>
      <c r="AE64" s="204"/>
    </row>
    <row r="65" spans="1:31" s="3" customFormat="1" x14ac:dyDescent="0.3">
      <c r="A65" s="204"/>
      <c r="B65" s="3" t="s">
        <v>201</v>
      </c>
      <c r="C65" s="3" t="s">
        <v>202</v>
      </c>
      <c r="D65" s="3" t="s">
        <v>40</v>
      </c>
      <c r="E65" s="3">
        <v>63625</v>
      </c>
      <c r="F65" s="122"/>
      <c r="G65" s="89"/>
      <c r="H65" s="127"/>
      <c r="I65" s="81"/>
      <c r="J65" s="122"/>
      <c r="K65" s="89"/>
      <c r="L65" s="127"/>
      <c r="M65" s="81"/>
      <c r="N65" s="88"/>
      <c r="O65" s="89"/>
      <c r="P65" s="81"/>
      <c r="Q65" s="81"/>
      <c r="R65" s="37"/>
      <c r="S65" s="35"/>
      <c r="T65" s="91"/>
      <c r="U65" s="81"/>
      <c r="V65" s="92"/>
      <c r="W65" s="89"/>
      <c r="X65" s="91"/>
      <c r="Y65" s="81"/>
      <c r="Z65" s="92"/>
      <c r="AA65" s="89"/>
      <c r="AB65" s="91"/>
      <c r="AC65" s="81"/>
      <c r="AE65" s="204"/>
    </row>
    <row r="66" spans="1:31" s="3" customFormat="1" x14ac:dyDescent="0.3">
      <c r="A66" s="204"/>
      <c r="B66" s="3" t="s">
        <v>367</v>
      </c>
      <c r="C66" s="3" t="s">
        <v>183</v>
      </c>
      <c r="D66" s="3" t="s">
        <v>40</v>
      </c>
      <c r="E66" s="3">
        <v>65219</v>
      </c>
      <c r="F66" s="122"/>
      <c r="G66" s="89"/>
      <c r="H66" s="127"/>
      <c r="I66" s="81"/>
      <c r="J66" s="122"/>
      <c r="K66" s="89"/>
      <c r="L66" s="127"/>
      <c r="M66" s="81"/>
      <c r="N66" s="88"/>
      <c r="O66" s="89"/>
      <c r="P66" s="81"/>
      <c r="Q66" s="81"/>
      <c r="R66" s="37"/>
      <c r="S66" s="35"/>
      <c r="T66" s="91"/>
      <c r="U66" s="81"/>
      <c r="V66" s="92"/>
      <c r="W66" s="89"/>
      <c r="X66" s="91"/>
      <c r="Y66" s="81"/>
      <c r="Z66" s="92"/>
      <c r="AA66" s="89"/>
      <c r="AB66" s="91"/>
      <c r="AC66" s="81"/>
      <c r="AE66" s="204"/>
    </row>
    <row r="67" spans="1:31" s="3" customFormat="1" x14ac:dyDescent="0.3">
      <c r="A67" s="204"/>
      <c r="B67" s="3" t="s">
        <v>77</v>
      </c>
      <c r="C67" s="3" t="s">
        <v>78</v>
      </c>
      <c r="D67" s="3" t="s">
        <v>43</v>
      </c>
      <c r="E67" s="3">
        <v>61195</v>
      </c>
      <c r="F67" s="122"/>
      <c r="G67" s="89"/>
      <c r="H67" s="127"/>
      <c r="I67" s="81"/>
      <c r="J67" s="122"/>
      <c r="K67" s="89"/>
      <c r="L67" s="127"/>
      <c r="M67" s="81"/>
      <c r="N67" s="88"/>
      <c r="O67" s="89"/>
      <c r="P67" s="81"/>
      <c r="Q67" s="81"/>
      <c r="R67" s="37"/>
      <c r="S67" s="35"/>
      <c r="T67" s="91"/>
      <c r="U67" s="81"/>
      <c r="V67" s="92"/>
      <c r="W67" s="89"/>
      <c r="X67" s="91"/>
      <c r="Y67" s="81"/>
      <c r="Z67" s="92"/>
      <c r="AA67" s="89"/>
      <c r="AB67" s="91"/>
      <c r="AC67" s="81"/>
      <c r="AE67" s="204"/>
    </row>
    <row r="68" spans="1:31" s="3" customFormat="1" x14ac:dyDescent="0.3">
      <c r="A68" s="204"/>
      <c r="B68" s="3" t="s">
        <v>79</v>
      </c>
      <c r="C68" s="3" t="s">
        <v>80</v>
      </c>
      <c r="D68" s="3" t="s">
        <v>43</v>
      </c>
      <c r="E68" s="3">
        <v>63687</v>
      </c>
      <c r="F68" s="122"/>
      <c r="G68" s="89"/>
      <c r="H68" s="127"/>
      <c r="I68" s="81"/>
      <c r="J68" s="122"/>
      <c r="K68" s="89"/>
      <c r="L68" s="127"/>
      <c r="M68" s="81"/>
      <c r="N68" s="88"/>
      <c r="O68" s="89"/>
      <c r="P68" s="81"/>
      <c r="Q68" s="81"/>
      <c r="R68" s="37"/>
      <c r="S68" s="35"/>
      <c r="T68" s="91"/>
      <c r="U68" s="81"/>
      <c r="V68" s="92"/>
      <c r="W68" s="89"/>
      <c r="X68" s="91"/>
      <c r="Y68" s="81"/>
      <c r="Z68" s="92"/>
      <c r="AA68" s="89"/>
      <c r="AB68" s="91"/>
      <c r="AC68" s="81"/>
      <c r="AE68" s="204"/>
    </row>
    <row r="69" spans="1:31" s="3" customFormat="1" x14ac:dyDescent="0.3">
      <c r="A69" s="204"/>
      <c r="B69" s="3" t="s">
        <v>82</v>
      </c>
      <c r="C69" s="3" t="s">
        <v>83</v>
      </c>
      <c r="D69" s="3" t="s">
        <v>43</v>
      </c>
      <c r="E69" s="3">
        <v>65245</v>
      </c>
      <c r="F69" s="122"/>
      <c r="G69" s="89"/>
      <c r="H69" s="127"/>
      <c r="I69" s="81"/>
      <c r="J69" s="122"/>
      <c r="K69" s="89"/>
      <c r="L69" s="127"/>
      <c r="M69" s="81"/>
      <c r="N69" s="88"/>
      <c r="O69" s="89"/>
      <c r="P69" s="81"/>
      <c r="Q69" s="81"/>
      <c r="R69" s="37"/>
      <c r="S69" s="35"/>
      <c r="T69" s="91"/>
      <c r="U69" s="81"/>
      <c r="V69" s="92"/>
      <c r="W69" s="89"/>
      <c r="X69" s="91"/>
      <c r="Y69" s="81"/>
      <c r="Z69" s="92"/>
      <c r="AA69" s="89"/>
      <c r="AB69" s="91"/>
      <c r="AC69" s="81"/>
      <c r="AE69" s="204"/>
    </row>
    <row r="70" spans="1:31" s="3" customFormat="1" x14ac:dyDescent="0.3">
      <c r="A70" s="204"/>
      <c r="B70" s="3" t="s">
        <v>85</v>
      </c>
      <c r="C70" s="3" t="s">
        <v>86</v>
      </c>
      <c r="D70" s="3" t="s">
        <v>43</v>
      </c>
      <c r="E70" s="3">
        <v>63690</v>
      </c>
      <c r="F70" s="122"/>
      <c r="G70" s="89"/>
      <c r="H70" s="127"/>
      <c r="I70" s="81"/>
      <c r="J70" s="122"/>
      <c r="K70" s="89"/>
      <c r="L70" s="127"/>
      <c r="M70" s="81"/>
      <c r="N70" s="88"/>
      <c r="O70" s="89"/>
      <c r="P70" s="81"/>
      <c r="Q70" s="81"/>
      <c r="R70" s="37"/>
      <c r="S70" s="35"/>
      <c r="T70" s="91"/>
      <c r="U70" s="81"/>
      <c r="V70" s="92"/>
      <c r="W70" s="89"/>
      <c r="X70" s="91"/>
      <c r="Y70" s="81"/>
      <c r="Z70" s="92"/>
      <c r="AA70" s="89"/>
      <c r="AB70" s="91"/>
      <c r="AC70" s="81"/>
      <c r="AE70" s="204"/>
    </row>
    <row r="71" spans="1:31" s="3" customFormat="1" x14ac:dyDescent="0.3">
      <c r="A71" s="204"/>
      <c r="B71" s="3" t="s">
        <v>87</v>
      </c>
      <c r="C71" s="3" t="s">
        <v>88</v>
      </c>
      <c r="D71" s="3" t="s">
        <v>43</v>
      </c>
      <c r="E71" s="3">
        <v>61193</v>
      </c>
      <c r="F71" s="122"/>
      <c r="G71" s="89"/>
      <c r="H71" s="127"/>
      <c r="I71" s="81"/>
      <c r="J71" s="122"/>
      <c r="K71" s="89"/>
      <c r="L71" s="127"/>
      <c r="M71" s="81"/>
      <c r="N71" s="88"/>
      <c r="O71" s="89"/>
      <c r="P71" s="81"/>
      <c r="Q71" s="81"/>
      <c r="R71" s="37"/>
      <c r="S71" s="35"/>
      <c r="T71" s="91"/>
      <c r="U71" s="81"/>
      <c r="V71" s="92"/>
      <c r="W71" s="89"/>
      <c r="X71" s="91"/>
      <c r="Y71" s="81"/>
      <c r="Z71" s="92"/>
      <c r="AA71" s="89"/>
      <c r="AB71" s="91"/>
      <c r="AC71" s="81"/>
      <c r="AE71" s="204"/>
    </row>
    <row r="72" spans="1:31" s="3" customFormat="1" x14ac:dyDescent="0.3">
      <c r="A72" s="204"/>
      <c r="B72" s="3" t="s">
        <v>190</v>
      </c>
      <c r="C72" s="3" t="s">
        <v>191</v>
      </c>
      <c r="D72" s="3" t="s">
        <v>40</v>
      </c>
      <c r="E72" s="3">
        <v>64925</v>
      </c>
      <c r="F72" s="122"/>
      <c r="G72" s="89"/>
      <c r="H72" s="127"/>
      <c r="I72" s="81"/>
      <c r="J72" s="122"/>
      <c r="K72" s="89"/>
      <c r="L72" s="127"/>
      <c r="M72" s="81"/>
      <c r="N72" s="88"/>
      <c r="O72" s="89"/>
      <c r="P72" s="81"/>
      <c r="Q72" s="81"/>
      <c r="R72" s="37"/>
      <c r="S72" s="35"/>
      <c r="T72" s="91"/>
      <c r="U72" s="81"/>
      <c r="V72" s="92"/>
      <c r="W72" s="89"/>
      <c r="X72" s="91"/>
      <c r="Y72" s="81"/>
      <c r="Z72" s="92"/>
      <c r="AA72" s="89"/>
      <c r="AB72" s="91"/>
      <c r="AC72" s="81"/>
      <c r="AE72" s="204"/>
    </row>
    <row r="73" spans="1:31" s="3" customFormat="1" x14ac:dyDescent="0.3">
      <c r="A73" s="204"/>
      <c r="B73" s="3" t="s">
        <v>89</v>
      </c>
      <c r="C73" s="3" t="s">
        <v>90</v>
      </c>
      <c r="D73" s="3" t="s">
        <v>43</v>
      </c>
      <c r="E73" s="3">
        <v>63689</v>
      </c>
      <c r="F73" s="122"/>
      <c r="G73" s="89"/>
      <c r="H73" s="127"/>
      <c r="I73" s="81"/>
      <c r="J73" s="122"/>
      <c r="K73" s="89"/>
      <c r="L73" s="127"/>
      <c r="M73" s="81"/>
      <c r="N73" s="88"/>
      <c r="O73" s="89"/>
      <c r="P73" s="81"/>
      <c r="Q73" s="81"/>
      <c r="R73" s="37"/>
      <c r="S73" s="35"/>
      <c r="T73" s="91"/>
      <c r="U73" s="81"/>
      <c r="V73" s="92"/>
      <c r="W73" s="89"/>
      <c r="X73" s="91"/>
      <c r="Y73" s="81"/>
      <c r="Z73" s="92"/>
      <c r="AA73" s="89"/>
      <c r="AB73" s="91"/>
      <c r="AC73" s="81"/>
      <c r="AE73" s="204"/>
    </row>
    <row r="74" spans="1:31" s="3" customFormat="1" x14ac:dyDescent="0.3">
      <c r="A74" s="204"/>
      <c r="B74" s="3" t="s">
        <v>91</v>
      </c>
      <c r="C74" s="3" t="s">
        <v>92</v>
      </c>
      <c r="D74" s="3" t="s">
        <v>43</v>
      </c>
      <c r="E74" s="3">
        <v>63688</v>
      </c>
      <c r="F74" s="122"/>
      <c r="G74" s="89"/>
      <c r="H74" s="127"/>
      <c r="I74" s="81"/>
      <c r="J74" s="122"/>
      <c r="K74" s="89"/>
      <c r="L74" s="127"/>
      <c r="M74" s="81"/>
      <c r="N74" s="88"/>
      <c r="O74" s="89"/>
      <c r="P74" s="81"/>
      <c r="Q74" s="81"/>
      <c r="R74" s="37"/>
      <c r="S74" s="35"/>
      <c r="T74" s="91"/>
      <c r="U74" s="81"/>
      <c r="V74" s="92"/>
      <c r="W74" s="89"/>
      <c r="X74" s="91"/>
      <c r="Y74" s="81"/>
      <c r="Z74" s="92"/>
      <c r="AA74" s="89"/>
      <c r="AB74" s="91"/>
      <c r="AC74" s="81"/>
      <c r="AE74" s="204"/>
    </row>
    <row r="75" spans="1:31" s="3" customFormat="1" x14ac:dyDescent="0.3">
      <c r="A75" s="204"/>
      <c r="B75" s="3" t="s">
        <v>93</v>
      </c>
      <c r="C75" s="3" t="s">
        <v>139</v>
      </c>
      <c r="D75" s="3" t="s">
        <v>43</v>
      </c>
      <c r="E75" s="3">
        <v>65407</v>
      </c>
      <c r="F75" s="122"/>
      <c r="G75" s="89"/>
      <c r="H75" s="127"/>
      <c r="I75" s="81"/>
      <c r="J75" s="122"/>
      <c r="K75" s="89"/>
      <c r="L75" s="127"/>
      <c r="M75" s="81"/>
      <c r="N75" s="88"/>
      <c r="O75" s="89"/>
      <c r="P75" s="81"/>
      <c r="Q75" s="81"/>
      <c r="R75" s="37"/>
      <c r="S75" s="35"/>
      <c r="T75" s="91"/>
      <c r="U75" s="81"/>
      <c r="V75" s="92"/>
      <c r="W75" s="89"/>
      <c r="X75" s="91"/>
      <c r="Y75" s="81"/>
      <c r="Z75" s="92"/>
      <c r="AA75" s="89"/>
      <c r="AB75" s="91"/>
      <c r="AC75" s="81"/>
      <c r="AE75" s="204"/>
    </row>
    <row r="76" spans="1:31" s="3" customFormat="1" x14ac:dyDescent="0.3">
      <c r="A76" s="204"/>
      <c r="B76" s="3" t="s">
        <v>368</v>
      </c>
      <c r="C76" s="3" t="s">
        <v>139</v>
      </c>
      <c r="D76" s="3" t="s">
        <v>43</v>
      </c>
      <c r="E76" s="3">
        <v>65409</v>
      </c>
      <c r="F76" s="122"/>
      <c r="G76" s="89"/>
      <c r="H76" s="127"/>
      <c r="I76" s="81"/>
      <c r="J76" s="122"/>
      <c r="K76" s="89"/>
      <c r="L76" s="127"/>
      <c r="M76" s="81"/>
      <c r="N76" s="88"/>
      <c r="O76" s="89"/>
      <c r="P76" s="81"/>
      <c r="Q76" s="81"/>
      <c r="R76" s="37"/>
      <c r="S76" s="35"/>
      <c r="T76" s="91"/>
      <c r="U76" s="81"/>
      <c r="V76" s="92"/>
      <c r="W76" s="89"/>
      <c r="X76" s="91"/>
      <c r="Y76" s="81"/>
      <c r="Z76" s="92"/>
      <c r="AA76" s="89"/>
      <c r="AB76" s="91"/>
      <c r="AC76" s="81"/>
      <c r="AE76" s="204"/>
    </row>
    <row r="77" spans="1:31" s="3" customFormat="1" x14ac:dyDescent="0.3">
      <c r="A77" s="204"/>
      <c r="B77" s="3" t="s">
        <v>94</v>
      </c>
      <c r="C77" s="3" t="s">
        <v>95</v>
      </c>
      <c r="D77" s="3" t="s">
        <v>43</v>
      </c>
      <c r="E77" s="3">
        <v>63640</v>
      </c>
      <c r="F77" s="122"/>
      <c r="G77" s="89"/>
      <c r="H77" s="127"/>
      <c r="I77" s="81"/>
      <c r="J77" s="122"/>
      <c r="K77" s="89"/>
      <c r="L77" s="127"/>
      <c r="M77" s="81"/>
      <c r="N77" s="88"/>
      <c r="O77" s="89"/>
      <c r="P77" s="81"/>
      <c r="Q77" s="81"/>
      <c r="R77" s="37"/>
      <c r="S77" s="35"/>
      <c r="T77" s="91"/>
      <c r="U77" s="81"/>
      <c r="V77" s="92"/>
      <c r="W77" s="89"/>
      <c r="X77" s="91"/>
      <c r="Y77" s="81"/>
      <c r="Z77" s="92"/>
      <c r="AA77" s="89"/>
      <c r="AB77" s="91"/>
      <c r="AC77" s="81"/>
      <c r="AE77" s="204"/>
    </row>
    <row r="78" spans="1:31" s="3" customFormat="1" x14ac:dyDescent="0.3">
      <c r="A78" s="204"/>
      <c r="B78" s="3" t="s">
        <v>96</v>
      </c>
      <c r="C78" s="3" t="s">
        <v>97</v>
      </c>
      <c r="D78" s="3" t="s">
        <v>43</v>
      </c>
      <c r="E78" s="3">
        <v>57497</v>
      </c>
      <c r="F78" s="122"/>
      <c r="G78" s="89"/>
      <c r="H78" s="127"/>
      <c r="I78" s="81"/>
      <c r="J78" s="122"/>
      <c r="K78" s="89"/>
      <c r="L78" s="127"/>
      <c r="M78" s="81"/>
      <c r="N78" s="88"/>
      <c r="O78" s="89"/>
      <c r="P78" s="81"/>
      <c r="Q78" s="81"/>
      <c r="R78" s="37"/>
      <c r="S78" s="35"/>
      <c r="T78" s="91"/>
      <c r="U78" s="81"/>
      <c r="V78" s="92"/>
      <c r="W78" s="89"/>
      <c r="X78" s="91"/>
      <c r="Y78" s="81"/>
      <c r="Z78" s="92"/>
      <c r="AA78" s="89"/>
      <c r="AB78" s="91"/>
      <c r="AC78" s="81"/>
      <c r="AE78" s="204"/>
    </row>
    <row r="79" spans="1:31" s="3" customFormat="1" x14ac:dyDescent="0.3">
      <c r="A79" s="204"/>
      <c r="B79" s="3" t="s">
        <v>98</v>
      </c>
      <c r="C79" s="3" t="s">
        <v>99</v>
      </c>
      <c r="D79" s="3" t="s">
        <v>43</v>
      </c>
      <c r="E79" s="3">
        <v>64967</v>
      </c>
      <c r="F79" s="122"/>
      <c r="G79" s="89"/>
      <c r="H79" s="127"/>
      <c r="I79" s="81"/>
      <c r="J79" s="122"/>
      <c r="K79" s="89"/>
      <c r="L79" s="127"/>
      <c r="M79" s="81"/>
      <c r="N79" s="88"/>
      <c r="O79" s="89"/>
      <c r="P79" s="81"/>
      <c r="Q79" s="81"/>
      <c r="R79" s="37"/>
      <c r="S79" s="35"/>
      <c r="T79" s="91"/>
      <c r="U79" s="81"/>
      <c r="V79" s="92"/>
      <c r="W79" s="89"/>
      <c r="X79" s="91"/>
      <c r="Y79" s="81"/>
      <c r="Z79" s="92"/>
      <c r="AA79" s="89"/>
      <c r="AB79" s="91"/>
      <c r="AC79" s="81"/>
      <c r="AE79" s="204"/>
    </row>
    <row r="80" spans="1:31" s="3" customFormat="1" x14ac:dyDescent="0.3">
      <c r="A80" s="204"/>
      <c r="B80" s="3" t="s">
        <v>101</v>
      </c>
      <c r="C80" s="3" t="s">
        <v>102</v>
      </c>
      <c r="D80" s="3" t="s">
        <v>43</v>
      </c>
      <c r="E80" s="3">
        <v>64968</v>
      </c>
      <c r="F80" s="122"/>
      <c r="G80" s="89"/>
      <c r="H80" s="127"/>
      <c r="I80" s="81"/>
      <c r="J80" s="122"/>
      <c r="K80" s="89"/>
      <c r="L80" s="127"/>
      <c r="M80" s="81"/>
      <c r="N80" s="88"/>
      <c r="O80" s="89"/>
      <c r="P80" s="81"/>
      <c r="Q80" s="81"/>
      <c r="R80" s="37"/>
      <c r="S80" s="35"/>
      <c r="T80" s="91"/>
      <c r="U80" s="81"/>
      <c r="V80" s="92"/>
      <c r="W80" s="89"/>
      <c r="X80" s="91"/>
      <c r="Y80" s="81"/>
      <c r="Z80" s="92"/>
      <c r="AA80" s="89"/>
      <c r="AB80" s="91"/>
      <c r="AC80" s="81"/>
      <c r="AE80" s="204"/>
    </row>
    <row r="81" spans="1:31" s="3" customFormat="1" x14ac:dyDescent="0.3">
      <c r="A81" s="204"/>
      <c r="B81" s="3" t="s">
        <v>104</v>
      </c>
      <c r="C81" s="3" t="s">
        <v>105</v>
      </c>
      <c r="D81" s="3" t="s">
        <v>43</v>
      </c>
      <c r="E81" s="3">
        <v>61194</v>
      </c>
      <c r="F81" s="122"/>
      <c r="G81" s="89"/>
      <c r="H81" s="127"/>
      <c r="I81" s="81"/>
      <c r="J81" s="122"/>
      <c r="K81" s="89"/>
      <c r="L81" s="127"/>
      <c r="M81" s="81"/>
      <c r="N81" s="88"/>
      <c r="O81" s="89"/>
      <c r="P81" s="81"/>
      <c r="Q81" s="81"/>
      <c r="R81" s="37"/>
      <c r="S81" s="35"/>
      <c r="T81" s="91"/>
      <c r="U81" s="81"/>
      <c r="V81" s="92"/>
      <c r="W81" s="89"/>
      <c r="X81" s="91"/>
      <c r="Y81" s="81"/>
      <c r="Z81" s="92"/>
      <c r="AA81" s="89"/>
      <c r="AB81" s="91"/>
      <c r="AC81" s="81"/>
      <c r="AE81" s="204"/>
    </row>
    <row r="82" spans="1:31" s="3" customFormat="1" x14ac:dyDescent="0.3">
      <c r="A82" s="204"/>
      <c r="B82" s="3" t="s">
        <v>369</v>
      </c>
      <c r="C82" s="3" t="s">
        <v>107</v>
      </c>
      <c r="D82" s="3" t="s">
        <v>43</v>
      </c>
      <c r="E82" s="3">
        <v>57500</v>
      </c>
      <c r="F82" s="122"/>
      <c r="G82" s="89"/>
      <c r="H82" s="127"/>
      <c r="I82" s="81"/>
      <c r="J82" s="122"/>
      <c r="K82" s="89"/>
      <c r="L82" s="127"/>
      <c r="M82" s="81"/>
      <c r="N82" s="88"/>
      <c r="O82" s="89"/>
      <c r="P82" s="81"/>
      <c r="Q82" s="81"/>
      <c r="R82" s="37"/>
      <c r="S82" s="35"/>
      <c r="T82" s="91"/>
      <c r="U82" s="81"/>
      <c r="V82" s="92"/>
      <c r="W82" s="89"/>
      <c r="X82" s="91"/>
      <c r="Y82" s="81"/>
      <c r="Z82" s="92"/>
      <c r="AA82" s="89"/>
      <c r="AB82" s="91"/>
      <c r="AC82" s="81"/>
      <c r="AE82" s="204"/>
    </row>
    <row r="83" spans="1:31" s="3" customFormat="1" x14ac:dyDescent="0.3">
      <c r="A83" s="204"/>
      <c r="B83" s="3" t="s">
        <v>370</v>
      </c>
      <c r="C83" s="3" t="s">
        <v>107</v>
      </c>
      <c r="D83" s="3" t="s">
        <v>43</v>
      </c>
      <c r="E83" s="3">
        <v>64993</v>
      </c>
      <c r="F83" s="122"/>
      <c r="G83" s="89"/>
      <c r="H83" s="127"/>
      <c r="I83" s="81"/>
      <c r="J83" s="122"/>
      <c r="K83" s="89"/>
      <c r="L83" s="127"/>
      <c r="M83" s="81"/>
      <c r="N83" s="88"/>
      <c r="O83" s="89"/>
      <c r="P83" s="81"/>
      <c r="Q83" s="81"/>
      <c r="R83" s="37"/>
      <c r="S83" s="35"/>
      <c r="T83" s="91"/>
      <c r="U83" s="81"/>
      <c r="V83" s="92"/>
      <c r="W83" s="89"/>
      <c r="X83" s="91"/>
      <c r="Y83" s="81"/>
      <c r="Z83" s="92"/>
      <c r="AA83" s="89"/>
      <c r="AB83" s="91"/>
      <c r="AC83" s="81"/>
      <c r="AE83" s="204"/>
    </row>
    <row r="84" spans="1:31" s="3" customFormat="1" x14ac:dyDescent="0.3">
      <c r="A84" s="204"/>
      <c r="B84" s="3" t="s">
        <v>109</v>
      </c>
      <c r="C84" s="3" t="s">
        <v>110</v>
      </c>
      <c r="D84" s="3" t="s">
        <v>43</v>
      </c>
      <c r="E84" s="3">
        <v>65019</v>
      </c>
      <c r="F84" s="122"/>
      <c r="G84" s="89"/>
      <c r="H84" s="127"/>
      <c r="I84" s="81"/>
      <c r="J84" s="122"/>
      <c r="K84" s="89"/>
      <c r="L84" s="127"/>
      <c r="M84" s="81"/>
      <c r="N84" s="88"/>
      <c r="O84" s="89"/>
      <c r="P84" s="81"/>
      <c r="Q84" s="81"/>
      <c r="R84" s="37"/>
      <c r="S84" s="35"/>
      <c r="T84" s="91"/>
      <c r="U84" s="81"/>
      <c r="V84" s="92"/>
      <c r="W84" s="89"/>
      <c r="X84" s="91"/>
      <c r="Y84" s="81"/>
      <c r="Z84" s="92"/>
      <c r="AA84" s="89"/>
      <c r="AB84" s="91"/>
      <c r="AC84" s="81"/>
      <c r="AE84" s="204"/>
    </row>
    <row r="85" spans="1:31" s="3" customFormat="1" x14ac:dyDescent="0.3">
      <c r="A85" s="204"/>
      <c r="B85" s="3" t="s">
        <v>371</v>
      </c>
      <c r="C85" s="3" t="s">
        <v>188</v>
      </c>
      <c r="D85" s="3" t="s">
        <v>40</v>
      </c>
      <c r="E85" s="3">
        <v>65022</v>
      </c>
      <c r="F85" s="122"/>
      <c r="G85" s="89"/>
      <c r="H85" s="127"/>
      <c r="I85" s="81"/>
      <c r="J85" s="122"/>
      <c r="K85" s="89"/>
      <c r="L85" s="127"/>
      <c r="M85" s="81"/>
      <c r="N85" s="88"/>
      <c r="O85" s="89"/>
      <c r="P85" s="81"/>
      <c r="Q85" s="81"/>
      <c r="R85" s="37"/>
      <c r="S85" s="35"/>
      <c r="T85" s="91"/>
      <c r="U85" s="81"/>
      <c r="V85" s="92"/>
      <c r="W85" s="89"/>
      <c r="X85" s="91"/>
      <c r="Y85" s="81"/>
      <c r="Z85" s="92"/>
      <c r="AA85" s="89"/>
      <c r="AB85" s="91"/>
      <c r="AC85" s="81"/>
      <c r="AE85" s="204"/>
    </row>
    <row r="86" spans="1:31" s="3" customFormat="1" x14ac:dyDescent="0.3">
      <c r="A86" s="204"/>
      <c r="B86" s="3" t="s">
        <v>372</v>
      </c>
      <c r="C86" s="3" t="s">
        <v>188</v>
      </c>
      <c r="D86" s="3" t="s">
        <v>40</v>
      </c>
      <c r="E86" s="3">
        <v>65012</v>
      </c>
      <c r="F86" s="122"/>
      <c r="G86" s="89"/>
      <c r="H86" s="127"/>
      <c r="I86" s="81"/>
      <c r="J86" s="122"/>
      <c r="K86" s="89"/>
      <c r="L86" s="127"/>
      <c r="M86" s="81"/>
      <c r="N86" s="88"/>
      <c r="O86" s="89"/>
      <c r="P86" s="81"/>
      <c r="Q86" s="81"/>
      <c r="R86" s="37"/>
      <c r="S86" s="35"/>
      <c r="T86" s="91"/>
      <c r="U86" s="81"/>
      <c r="V86" s="92"/>
      <c r="W86" s="89"/>
      <c r="X86" s="91"/>
      <c r="Y86" s="81"/>
      <c r="Z86" s="92"/>
      <c r="AA86" s="89"/>
      <c r="AB86" s="91"/>
      <c r="AC86" s="81"/>
      <c r="AE86" s="204"/>
    </row>
    <row r="87" spans="1:31" s="3" customFormat="1" x14ac:dyDescent="0.3">
      <c r="A87" s="204"/>
      <c r="B87" s="3" t="s">
        <v>111</v>
      </c>
      <c r="C87" s="3" t="s">
        <v>112</v>
      </c>
      <c r="D87" s="3" t="s">
        <v>40</v>
      </c>
      <c r="E87" s="3">
        <v>65013</v>
      </c>
      <c r="F87" s="122"/>
      <c r="G87" s="89"/>
      <c r="H87" s="127"/>
      <c r="I87" s="81"/>
      <c r="J87" s="122"/>
      <c r="K87" s="89"/>
      <c r="L87" s="127"/>
      <c r="M87" s="81"/>
      <c r="N87" s="88"/>
      <c r="O87" s="89"/>
      <c r="P87" s="81"/>
      <c r="Q87" s="81"/>
      <c r="R87" s="37"/>
      <c r="S87" s="35"/>
      <c r="T87" s="91"/>
      <c r="U87" s="81"/>
      <c r="V87" s="92"/>
      <c r="W87" s="89"/>
      <c r="X87" s="91"/>
      <c r="Y87" s="81"/>
      <c r="Z87" s="92"/>
      <c r="AA87" s="89"/>
      <c r="AB87" s="91"/>
      <c r="AC87" s="81"/>
      <c r="AE87" s="204"/>
    </row>
    <row r="88" spans="1:31" s="3" customFormat="1" x14ac:dyDescent="0.3">
      <c r="A88" s="204"/>
      <c r="B88" s="3" t="s">
        <v>113</v>
      </c>
      <c r="C88" s="3" t="s">
        <v>114</v>
      </c>
      <c r="D88" s="3" t="s">
        <v>43</v>
      </c>
      <c r="E88" s="3">
        <v>65021</v>
      </c>
      <c r="F88" s="122"/>
      <c r="G88" s="89"/>
      <c r="H88" s="127"/>
      <c r="I88" s="81"/>
      <c r="J88" s="122"/>
      <c r="K88" s="89"/>
      <c r="L88" s="127"/>
      <c r="M88" s="81"/>
      <c r="N88" s="88"/>
      <c r="O88" s="89"/>
      <c r="P88" s="81"/>
      <c r="Q88" s="81"/>
      <c r="R88" s="37"/>
      <c r="S88" s="35"/>
      <c r="T88" s="91"/>
      <c r="U88" s="81"/>
      <c r="V88" s="92"/>
      <c r="W88" s="89"/>
      <c r="X88" s="91"/>
      <c r="Y88" s="81"/>
      <c r="Z88" s="92"/>
      <c r="AA88" s="89"/>
      <c r="AB88" s="91"/>
      <c r="AC88" s="81"/>
      <c r="AE88" s="204"/>
    </row>
    <row r="89" spans="1:31" s="3" customFormat="1" x14ac:dyDescent="0.3">
      <c r="A89" s="204"/>
      <c r="B89" s="3" t="s">
        <v>116</v>
      </c>
      <c r="C89" s="3" t="s">
        <v>117</v>
      </c>
      <c r="D89" s="3" t="s">
        <v>43</v>
      </c>
      <c r="E89" s="3">
        <v>64953</v>
      </c>
      <c r="F89" s="122"/>
      <c r="G89" s="89"/>
      <c r="H89" s="127"/>
      <c r="I89" s="81"/>
      <c r="J89" s="122"/>
      <c r="K89" s="89"/>
      <c r="L89" s="127"/>
      <c r="M89" s="81"/>
      <c r="N89" s="88"/>
      <c r="O89" s="89"/>
      <c r="P89" s="81"/>
      <c r="Q89" s="81"/>
      <c r="R89" s="37"/>
      <c r="S89" s="35"/>
      <c r="T89" s="91"/>
      <c r="U89" s="81"/>
      <c r="V89" s="92"/>
      <c r="W89" s="89"/>
      <c r="X89" s="91"/>
      <c r="Y89" s="81"/>
      <c r="Z89" s="92"/>
      <c r="AA89" s="89"/>
      <c r="AB89" s="91"/>
      <c r="AC89" s="81"/>
      <c r="AE89" s="204"/>
    </row>
    <row r="90" spans="1:31" s="3" customFormat="1" x14ac:dyDescent="0.3">
      <c r="A90" s="204"/>
      <c r="B90" s="3" t="s">
        <v>118</v>
      </c>
      <c r="C90" s="3" t="s">
        <v>119</v>
      </c>
      <c r="D90" s="3" t="s">
        <v>43</v>
      </c>
      <c r="E90" s="3">
        <v>65020</v>
      </c>
      <c r="F90" s="122"/>
      <c r="G90" s="89"/>
      <c r="H90" s="127"/>
      <c r="I90" s="81"/>
      <c r="J90" s="122"/>
      <c r="K90" s="89"/>
      <c r="L90" s="127"/>
      <c r="M90" s="81"/>
      <c r="N90" s="88"/>
      <c r="O90" s="89"/>
      <c r="P90" s="81"/>
      <c r="Q90" s="81"/>
      <c r="R90" s="37"/>
      <c r="S90" s="35"/>
      <c r="T90" s="91"/>
      <c r="U90" s="81"/>
      <c r="V90" s="92"/>
      <c r="W90" s="89"/>
      <c r="X90" s="91"/>
      <c r="Y90" s="81"/>
      <c r="Z90" s="92"/>
      <c r="AA90" s="89"/>
      <c r="AB90" s="91"/>
      <c r="AC90" s="81"/>
      <c r="AE90" s="204"/>
    </row>
    <row r="91" spans="1:31" s="3" customFormat="1" x14ac:dyDescent="0.3">
      <c r="A91" s="204"/>
      <c r="B91" s="3" t="s">
        <v>184</v>
      </c>
      <c r="C91" s="3" t="s">
        <v>185</v>
      </c>
      <c r="D91" s="3" t="s">
        <v>40</v>
      </c>
      <c r="E91" s="3">
        <v>67792</v>
      </c>
      <c r="F91" s="122"/>
      <c r="G91" s="89"/>
      <c r="H91" s="127"/>
      <c r="I91" s="81"/>
      <c r="J91" s="122"/>
      <c r="K91" s="89"/>
      <c r="L91" s="127"/>
      <c r="M91" s="81"/>
      <c r="N91" s="88"/>
      <c r="O91" s="89"/>
      <c r="P91" s="81"/>
      <c r="Q91" s="81"/>
      <c r="R91" s="37"/>
      <c r="S91" s="35"/>
      <c r="T91" s="91"/>
      <c r="U91" s="81"/>
      <c r="V91" s="92"/>
      <c r="W91" s="89"/>
      <c r="X91" s="91"/>
      <c r="Y91" s="81"/>
      <c r="Z91" s="92"/>
      <c r="AA91" s="89"/>
      <c r="AB91" s="91"/>
      <c r="AC91" s="81"/>
      <c r="AE91" s="204"/>
    </row>
    <row r="92" spans="1:31" s="3" customFormat="1" x14ac:dyDescent="0.3">
      <c r="A92" s="204"/>
      <c r="B92" s="71" t="s">
        <v>373</v>
      </c>
      <c r="C92" s="71" t="s">
        <v>374</v>
      </c>
      <c r="D92" s="71"/>
      <c r="E92" s="71">
        <v>40464</v>
      </c>
      <c r="F92" s="122"/>
      <c r="G92" s="89"/>
      <c r="H92" s="127"/>
      <c r="I92" s="81"/>
      <c r="J92" s="122"/>
      <c r="K92" s="89"/>
      <c r="L92" s="127"/>
      <c r="M92" s="81"/>
      <c r="N92" s="88"/>
      <c r="O92" s="89"/>
      <c r="P92" s="81"/>
      <c r="Q92" s="81"/>
      <c r="R92" s="37"/>
      <c r="S92" s="35"/>
      <c r="T92" s="91"/>
      <c r="U92" s="81"/>
      <c r="V92" s="92"/>
      <c r="W92" s="89"/>
      <c r="X92" s="91"/>
      <c r="Y92" s="81"/>
      <c r="Z92" s="92"/>
      <c r="AA92" s="89"/>
      <c r="AB92" s="91"/>
      <c r="AC92" s="81"/>
      <c r="AE92" s="204"/>
    </row>
    <row r="93" spans="1:31" s="3" customFormat="1" x14ac:dyDescent="0.3">
      <c r="A93" s="204"/>
      <c r="B93" s="3" t="s">
        <v>120</v>
      </c>
      <c r="C93" s="3" t="s">
        <v>121</v>
      </c>
      <c r="D93" s="3" t="s">
        <v>43</v>
      </c>
      <c r="E93" s="3">
        <v>65461</v>
      </c>
      <c r="F93" s="122"/>
      <c r="G93" s="89"/>
      <c r="H93" s="127"/>
      <c r="I93" s="81"/>
      <c r="J93" s="122"/>
      <c r="K93" s="89"/>
      <c r="L93" s="127"/>
      <c r="M93" s="81"/>
      <c r="N93" s="88"/>
      <c r="O93" s="89"/>
      <c r="P93" s="81"/>
      <c r="Q93" s="81"/>
      <c r="R93" s="37"/>
      <c r="S93" s="35"/>
      <c r="T93" s="91"/>
      <c r="U93" s="81"/>
      <c r="V93" s="92"/>
      <c r="W93" s="89"/>
      <c r="X93" s="91"/>
      <c r="Y93" s="81"/>
      <c r="Z93" s="92"/>
      <c r="AA93" s="89"/>
      <c r="AB93" s="91"/>
      <c r="AC93" s="81"/>
      <c r="AE93" s="204"/>
    </row>
    <row r="94" spans="1:31" s="3" customFormat="1" x14ac:dyDescent="0.3">
      <c r="A94" s="204"/>
      <c r="B94" s="3" t="s">
        <v>122</v>
      </c>
      <c r="C94" s="3" t="s">
        <v>123</v>
      </c>
      <c r="D94" s="3" t="s">
        <v>43</v>
      </c>
      <c r="E94" s="3">
        <v>67564</v>
      </c>
      <c r="F94" s="122"/>
      <c r="G94" s="89"/>
      <c r="H94" s="127"/>
      <c r="I94" s="81"/>
      <c r="J94" s="122"/>
      <c r="K94" s="89"/>
      <c r="L94" s="127"/>
      <c r="M94" s="81"/>
      <c r="N94" s="88"/>
      <c r="O94" s="89"/>
      <c r="P94" s="81"/>
      <c r="Q94" s="81"/>
      <c r="R94" s="37"/>
      <c r="S94" s="35"/>
      <c r="T94" s="91"/>
      <c r="U94" s="81"/>
      <c r="V94" s="92"/>
      <c r="W94" s="89"/>
      <c r="X94" s="91"/>
      <c r="Y94" s="81"/>
      <c r="Z94" s="92"/>
      <c r="AA94" s="89"/>
      <c r="AB94" s="91"/>
      <c r="AC94" s="81"/>
      <c r="AE94" s="204"/>
    </row>
    <row r="95" spans="1:31" s="3" customFormat="1" x14ac:dyDescent="0.3">
      <c r="A95" s="204"/>
      <c r="B95" s="3" t="s">
        <v>124</v>
      </c>
      <c r="C95" s="3" t="s">
        <v>125</v>
      </c>
      <c r="D95" s="3" t="s">
        <v>43</v>
      </c>
      <c r="E95" s="3">
        <v>67565</v>
      </c>
      <c r="F95" s="122"/>
      <c r="G95" s="89"/>
      <c r="H95" s="127"/>
      <c r="I95" s="81"/>
      <c r="J95" s="122"/>
      <c r="K95" s="89"/>
      <c r="L95" s="127"/>
      <c r="M95" s="81"/>
      <c r="N95" s="88"/>
      <c r="O95" s="89"/>
      <c r="P95" s="81"/>
      <c r="Q95" s="81"/>
      <c r="R95" s="37"/>
      <c r="S95" s="35"/>
      <c r="T95" s="91"/>
      <c r="U95" s="81"/>
      <c r="V95" s="92"/>
      <c r="W95" s="89"/>
      <c r="X95" s="91"/>
      <c r="Y95" s="81"/>
      <c r="Z95" s="92"/>
      <c r="AA95" s="89"/>
      <c r="AB95" s="91"/>
      <c r="AC95" s="81"/>
      <c r="AE95" s="204"/>
    </row>
    <row r="96" spans="1:31" s="3" customFormat="1" x14ac:dyDescent="0.3">
      <c r="A96" s="204"/>
      <c r="B96" s="3" t="s">
        <v>126</v>
      </c>
      <c r="C96" s="3" t="s">
        <v>127</v>
      </c>
      <c r="D96" s="3" t="s">
        <v>43</v>
      </c>
      <c r="E96" s="3">
        <v>67556</v>
      </c>
      <c r="F96" s="122"/>
      <c r="G96" s="89"/>
      <c r="H96" s="127"/>
      <c r="I96" s="81"/>
      <c r="J96" s="122"/>
      <c r="K96" s="89"/>
      <c r="L96" s="127"/>
      <c r="M96" s="81"/>
      <c r="N96" s="88"/>
      <c r="O96" s="89"/>
      <c r="P96" s="81"/>
      <c r="Q96" s="81"/>
      <c r="R96" s="37"/>
      <c r="S96" s="35"/>
      <c r="T96" s="91"/>
      <c r="U96" s="81"/>
      <c r="V96" s="92"/>
      <c r="W96" s="89"/>
      <c r="X96" s="91"/>
      <c r="Y96" s="81"/>
      <c r="Z96" s="92"/>
      <c r="AA96" s="89"/>
      <c r="AB96" s="91"/>
      <c r="AC96" s="81"/>
      <c r="AE96" s="204"/>
    </row>
    <row r="97" spans="1:31" s="3" customFormat="1" x14ac:dyDescent="0.3">
      <c r="A97" s="204"/>
      <c r="B97" s="3" t="s">
        <v>128</v>
      </c>
      <c r="C97" s="3" t="s">
        <v>129</v>
      </c>
      <c r="D97" s="3" t="s">
        <v>43</v>
      </c>
      <c r="E97" s="3">
        <v>71055</v>
      </c>
      <c r="F97" s="122"/>
      <c r="G97" s="89"/>
      <c r="H97" s="127"/>
      <c r="I97" s="81"/>
      <c r="J97" s="122"/>
      <c r="K97" s="89"/>
      <c r="L97" s="127"/>
      <c r="M97" s="81"/>
      <c r="N97" s="88"/>
      <c r="O97" s="89"/>
      <c r="P97" s="81"/>
      <c r="Q97" s="81"/>
      <c r="R97" s="37"/>
      <c r="S97" s="35"/>
      <c r="T97" s="91"/>
      <c r="U97" s="81"/>
      <c r="V97" s="92"/>
      <c r="W97" s="89"/>
      <c r="X97" s="91"/>
      <c r="Y97" s="81"/>
      <c r="Z97" s="92"/>
      <c r="AA97" s="89"/>
      <c r="AB97" s="91"/>
      <c r="AC97" s="81"/>
      <c r="AE97" s="204"/>
    </row>
    <row r="98" spans="1:31" s="3" customFormat="1" x14ac:dyDescent="0.3">
      <c r="A98" s="204"/>
      <c r="B98" s="3" t="s">
        <v>375</v>
      </c>
      <c r="C98" s="3" t="s">
        <v>183</v>
      </c>
      <c r="D98" s="3" t="s">
        <v>40</v>
      </c>
      <c r="E98" s="3">
        <v>67278</v>
      </c>
      <c r="F98" s="122"/>
      <c r="G98" s="89"/>
      <c r="H98" s="127"/>
      <c r="I98" s="81"/>
      <c r="J98" s="122"/>
      <c r="K98" s="89"/>
      <c r="L98" s="127"/>
      <c r="M98" s="81"/>
      <c r="N98" s="88"/>
      <c r="O98" s="89"/>
      <c r="P98" s="81"/>
      <c r="Q98" s="81"/>
      <c r="R98" s="37"/>
      <c r="S98" s="35"/>
      <c r="T98" s="91"/>
      <c r="U98" s="81"/>
      <c r="V98" s="92"/>
      <c r="W98" s="89"/>
      <c r="X98" s="91"/>
      <c r="Y98" s="81"/>
      <c r="Z98" s="92"/>
      <c r="AA98" s="89"/>
      <c r="AB98" s="91"/>
      <c r="AC98" s="81"/>
      <c r="AE98" s="204"/>
    </row>
    <row r="99" spans="1:31" s="3" customFormat="1" x14ac:dyDescent="0.3">
      <c r="A99" s="204"/>
      <c r="B99" s="3" t="s">
        <v>131</v>
      </c>
      <c r="C99" s="3" t="s">
        <v>132</v>
      </c>
      <c r="D99" s="3" t="s">
        <v>43</v>
      </c>
      <c r="E99" s="3">
        <v>67614</v>
      </c>
      <c r="F99" s="122"/>
      <c r="G99" s="89"/>
      <c r="H99" s="127"/>
      <c r="I99" s="81"/>
      <c r="J99" s="122"/>
      <c r="K99" s="89"/>
      <c r="L99" s="127"/>
      <c r="M99" s="81"/>
      <c r="N99" s="88"/>
      <c r="O99" s="89"/>
      <c r="P99" s="81"/>
      <c r="Q99" s="81"/>
      <c r="R99" s="37"/>
      <c r="S99" s="35"/>
      <c r="T99" s="91"/>
      <c r="U99" s="81"/>
      <c r="V99" s="92"/>
      <c r="W99" s="89"/>
      <c r="X99" s="91"/>
      <c r="Y99" s="81"/>
      <c r="Z99" s="92"/>
      <c r="AA99" s="89"/>
      <c r="AB99" s="91"/>
      <c r="AC99" s="81"/>
      <c r="AE99" s="204"/>
    </row>
    <row r="100" spans="1:31" s="3" customFormat="1" x14ac:dyDescent="0.3">
      <c r="A100" s="204"/>
      <c r="B100" s="3" t="s">
        <v>133</v>
      </c>
      <c r="C100" s="3" t="s">
        <v>134</v>
      </c>
      <c r="D100" s="3" t="s">
        <v>43</v>
      </c>
      <c r="E100" s="3">
        <v>67613</v>
      </c>
      <c r="F100" s="122"/>
      <c r="G100" s="89"/>
      <c r="H100" s="127"/>
      <c r="I100" s="81"/>
      <c r="J100" s="122"/>
      <c r="K100" s="89"/>
      <c r="L100" s="127"/>
      <c r="M100" s="81"/>
      <c r="N100" s="88"/>
      <c r="O100" s="89"/>
      <c r="P100" s="81"/>
      <c r="Q100" s="81"/>
      <c r="R100" s="37"/>
      <c r="S100" s="35"/>
      <c r="T100" s="91"/>
      <c r="U100" s="81"/>
      <c r="V100" s="92"/>
      <c r="W100" s="89"/>
      <c r="X100" s="91"/>
      <c r="Y100" s="81"/>
      <c r="Z100" s="92"/>
      <c r="AA100" s="89"/>
      <c r="AB100" s="91"/>
      <c r="AC100" s="81"/>
      <c r="AE100" s="204"/>
    </row>
    <row r="101" spans="1:31" s="3" customFormat="1" x14ac:dyDescent="0.3">
      <c r="A101" s="204"/>
      <c r="B101" s="3" t="s">
        <v>136</v>
      </c>
      <c r="C101" s="3" t="s">
        <v>137</v>
      </c>
      <c r="D101" s="3" t="s">
        <v>43</v>
      </c>
      <c r="E101" s="3">
        <v>67611</v>
      </c>
      <c r="F101" s="122"/>
      <c r="G101" s="89"/>
      <c r="H101" s="127"/>
      <c r="I101" s="81"/>
      <c r="J101" s="122"/>
      <c r="K101" s="89"/>
      <c r="L101" s="127"/>
      <c r="M101" s="81"/>
      <c r="N101" s="88"/>
      <c r="O101" s="89"/>
      <c r="P101" s="81"/>
      <c r="Q101" s="81"/>
      <c r="R101" s="37"/>
      <c r="S101" s="35"/>
      <c r="T101" s="91"/>
      <c r="U101" s="81"/>
      <c r="V101" s="92"/>
      <c r="W101" s="89"/>
      <c r="X101" s="91"/>
      <c r="Y101" s="81"/>
      <c r="Z101" s="92"/>
      <c r="AA101" s="89"/>
      <c r="AB101" s="91"/>
      <c r="AC101" s="81"/>
      <c r="AE101" s="204"/>
    </row>
    <row r="102" spans="1:31" s="3" customFormat="1" x14ac:dyDescent="0.3">
      <c r="A102" s="204"/>
      <c r="B102" s="3" t="s">
        <v>138</v>
      </c>
      <c r="C102" s="3" t="s">
        <v>139</v>
      </c>
      <c r="D102" s="3" t="s">
        <v>43</v>
      </c>
      <c r="E102" s="3">
        <v>67108</v>
      </c>
      <c r="F102" s="122"/>
      <c r="G102" s="89"/>
      <c r="H102" s="127"/>
      <c r="I102" s="81"/>
      <c r="J102" s="122"/>
      <c r="K102" s="89"/>
      <c r="L102" s="127"/>
      <c r="M102" s="81"/>
      <c r="N102" s="88"/>
      <c r="O102" s="89"/>
      <c r="P102" s="81"/>
      <c r="Q102" s="81"/>
      <c r="R102" s="37"/>
      <c r="S102" s="35"/>
      <c r="T102" s="91"/>
      <c r="U102" s="81"/>
      <c r="V102" s="92"/>
      <c r="W102" s="89"/>
      <c r="X102" s="91"/>
      <c r="Y102" s="81"/>
      <c r="Z102" s="92"/>
      <c r="AA102" s="89"/>
      <c r="AB102" s="91"/>
      <c r="AC102" s="81"/>
      <c r="AE102" s="204"/>
    </row>
    <row r="103" spans="1:31" s="3" customFormat="1" x14ac:dyDescent="0.3">
      <c r="A103" s="204"/>
      <c r="B103" s="3" t="s">
        <v>141</v>
      </c>
      <c r="C103" s="3" t="s">
        <v>142</v>
      </c>
      <c r="D103" s="3" t="s">
        <v>43</v>
      </c>
      <c r="E103" s="3">
        <v>57837</v>
      </c>
      <c r="F103" s="122"/>
      <c r="G103" s="89"/>
      <c r="H103" s="127"/>
      <c r="I103" s="81"/>
      <c r="J103" s="122"/>
      <c r="K103" s="89"/>
      <c r="L103" s="127"/>
      <c r="M103" s="81"/>
      <c r="N103" s="88"/>
      <c r="O103" s="89"/>
      <c r="P103" s="81"/>
      <c r="Q103" s="81"/>
      <c r="R103" s="37"/>
      <c r="S103" s="35"/>
      <c r="T103" s="91"/>
      <c r="U103" s="81"/>
      <c r="V103" s="92"/>
      <c r="W103" s="89"/>
      <c r="X103" s="91"/>
      <c r="Y103" s="81"/>
      <c r="Z103" s="92"/>
      <c r="AA103" s="89"/>
      <c r="AB103" s="91"/>
      <c r="AC103" s="81"/>
      <c r="AE103" s="204"/>
    </row>
    <row r="104" spans="1:31" s="3" customFormat="1" x14ac:dyDescent="0.3">
      <c r="A104" s="204"/>
      <c r="B104" s="3" t="s">
        <v>143</v>
      </c>
      <c r="C104" s="3" t="s">
        <v>144</v>
      </c>
      <c r="D104" s="3" t="s">
        <v>43</v>
      </c>
      <c r="E104" s="3">
        <v>49384</v>
      </c>
      <c r="F104" s="122"/>
      <c r="G104" s="89"/>
      <c r="H104" s="127"/>
      <c r="I104" s="81"/>
      <c r="J104" s="122"/>
      <c r="K104" s="89"/>
      <c r="L104" s="127"/>
      <c r="M104" s="81"/>
      <c r="N104" s="88"/>
      <c r="O104" s="89"/>
      <c r="P104" s="81"/>
      <c r="Q104" s="81"/>
      <c r="R104" s="37"/>
      <c r="S104" s="35"/>
      <c r="T104" s="91"/>
      <c r="U104" s="81"/>
      <c r="V104" s="92"/>
      <c r="W104" s="89"/>
      <c r="X104" s="91"/>
      <c r="Y104" s="81"/>
      <c r="Z104" s="92"/>
      <c r="AA104" s="89"/>
      <c r="AB104" s="91"/>
      <c r="AC104" s="81"/>
      <c r="AE104" s="204"/>
    </row>
    <row r="105" spans="1:31" s="3" customFormat="1" x14ac:dyDescent="0.3">
      <c r="A105" s="204"/>
      <c r="B105" s="71" t="s">
        <v>145</v>
      </c>
      <c r="C105" s="71" t="s">
        <v>146</v>
      </c>
      <c r="D105" s="71"/>
      <c r="E105" s="71">
        <v>49383</v>
      </c>
      <c r="F105" s="122"/>
      <c r="G105" s="89"/>
      <c r="H105" s="127"/>
      <c r="I105" s="81"/>
      <c r="J105" s="122"/>
      <c r="K105" s="89"/>
      <c r="L105" s="127"/>
      <c r="M105" s="81"/>
      <c r="N105" s="88"/>
      <c r="O105" s="89"/>
      <c r="P105" s="81"/>
      <c r="Q105" s="81"/>
      <c r="R105" s="37"/>
      <c r="S105" s="35"/>
      <c r="T105" s="91"/>
      <c r="U105" s="81"/>
      <c r="V105" s="92"/>
      <c r="W105" s="89"/>
      <c r="X105" s="91"/>
      <c r="Y105" s="81"/>
      <c r="Z105" s="92"/>
      <c r="AA105" s="89"/>
      <c r="AB105" s="91"/>
      <c r="AC105" s="81"/>
      <c r="AE105" s="204"/>
    </row>
    <row r="106" spans="1:31" s="3" customFormat="1" x14ac:dyDescent="0.3">
      <c r="A106" s="204"/>
      <c r="F106" s="122"/>
      <c r="G106" s="89"/>
      <c r="H106" s="127"/>
      <c r="I106" s="81"/>
      <c r="J106" s="122"/>
      <c r="K106" s="89"/>
      <c r="L106" s="127"/>
      <c r="M106" s="81"/>
      <c r="N106" s="88"/>
      <c r="O106" s="89"/>
      <c r="P106" s="81"/>
      <c r="Q106" s="81"/>
      <c r="R106" s="37"/>
      <c r="S106" s="35"/>
      <c r="T106" s="91"/>
      <c r="U106" s="81"/>
      <c r="V106" s="92"/>
      <c r="W106" s="89"/>
      <c r="X106" s="91"/>
      <c r="Y106" s="81"/>
      <c r="Z106" s="92"/>
      <c r="AA106" s="89"/>
      <c r="AB106" s="91"/>
      <c r="AC106" s="81"/>
      <c r="AE106" s="204"/>
    </row>
    <row r="107" spans="1:31" s="3" customFormat="1" x14ac:dyDescent="0.3">
      <c r="A107" s="204"/>
      <c r="B107" s="3" t="s">
        <v>147</v>
      </c>
      <c r="C107" s="3" t="s">
        <v>376</v>
      </c>
      <c r="D107" s="3" t="s">
        <v>40</v>
      </c>
      <c r="E107" s="3">
        <v>72822</v>
      </c>
      <c r="F107" s="122"/>
      <c r="G107" s="89"/>
      <c r="H107" s="127"/>
      <c r="I107" s="81"/>
      <c r="J107" s="122"/>
      <c r="K107" s="89"/>
      <c r="L107" s="127"/>
      <c r="M107" s="81"/>
      <c r="N107" s="88"/>
      <c r="O107" s="89"/>
      <c r="P107" s="81"/>
      <c r="Q107" s="81"/>
      <c r="R107" s="37"/>
      <c r="S107" s="35"/>
      <c r="T107" s="91"/>
      <c r="U107" s="81"/>
      <c r="V107" s="92"/>
      <c r="W107" s="89"/>
      <c r="X107" s="91"/>
      <c r="Y107" s="81"/>
      <c r="Z107" s="92"/>
      <c r="AA107" s="89"/>
      <c r="AB107" s="91"/>
      <c r="AC107" s="81"/>
      <c r="AE107" s="204"/>
    </row>
    <row r="108" spans="1:31" s="3" customFormat="1" x14ac:dyDescent="0.3">
      <c r="A108" s="204"/>
      <c r="B108" s="3" t="s">
        <v>147</v>
      </c>
      <c r="C108" s="3" t="s">
        <v>377</v>
      </c>
      <c r="D108" s="3" t="s">
        <v>44</v>
      </c>
      <c r="E108" s="3">
        <v>71531</v>
      </c>
      <c r="F108" s="122"/>
      <c r="G108" s="89"/>
      <c r="H108" s="127"/>
      <c r="I108" s="81"/>
      <c r="J108" s="122"/>
      <c r="K108" s="89"/>
      <c r="L108" s="127"/>
      <c r="M108" s="81"/>
      <c r="N108" s="161"/>
      <c r="O108" s="89"/>
      <c r="P108" s="162"/>
      <c r="Q108" s="81"/>
      <c r="R108" s="37"/>
      <c r="S108" s="35"/>
      <c r="T108" s="91"/>
      <c r="U108" s="81"/>
      <c r="V108" s="92"/>
      <c r="W108" s="89"/>
      <c r="X108" s="91"/>
      <c r="Y108" s="81"/>
      <c r="Z108" s="92"/>
      <c r="AA108" s="89"/>
      <c r="AB108" s="91"/>
      <c r="AC108" s="81"/>
      <c r="AE108" s="204"/>
    </row>
    <row r="109" spans="1:31" s="3" customFormat="1" x14ac:dyDescent="0.3">
      <c r="A109" s="204"/>
      <c r="B109" s="3" t="s">
        <v>147</v>
      </c>
      <c r="C109" s="3" t="s">
        <v>378</v>
      </c>
      <c r="D109" s="3" t="s">
        <v>328</v>
      </c>
      <c r="E109" s="3">
        <v>50552</v>
      </c>
      <c r="F109" s="122"/>
      <c r="G109" s="89"/>
      <c r="H109" s="127"/>
      <c r="I109" s="81"/>
      <c r="J109" s="122"/>
      <c r="K109" s="89"/>
      <c r="L109" s="127"/>
      <c r="M109" s="81"/>
      <c r="N109" s="161"/>
      <c r="O109" s="89"/>
      <c r="P109" s="162"/>
      <c r="Q109" s="81"/>
      <c r="R109" s="37"/>
      <c r="S109" s="35"/>
      <c r="T109" s="91"/>
      <c r="U109" s="81"/>
      <c r="V109" s="92"/>
      <c r="W109" s="89"/>
      <c r="X109" s="91"/>
      <c r="Y109" s="81"/>
      <c r="Z109" s="92"/>
      <c r="AA109" s="89"/>
      <c r="AB109" s="91"/>
      <c r="AC109" s="81"/>
      <c r="AE109" s="204"/>
    </row>
    <row r="110" spans="1:31" s="3" customFormat="1" x14ac:dyDescent="0.3">
      <c r="A110" s="204"/>
      <c r="B110" s="3" t="s">
        <v>147</v>
      </c>
      <c r="C110" s="3" t="s">
        <v>161</v>
      </c>
      <c r="D110" s="3" t="s">
        <v>328</v>
      </c>
      <c r="E110" s="3">
        <v>61519</v>
      </c>
      <c r="F110" s="122"/>
      <c r="G110" s="89"/>
      <c r="H110" s="127"/>
      <c r="I110" s="81"/>
      <c r="J110" s="122"/>
      <c r="K110" s="89"/>
      <c r="L110" s="127"/>
      <c r="M110" s="81"/>
      <c r="N110" s="161"/>
      <c r="O110" s="89"/>
      <c r="P110" s="162"/>
      <c r="Q110" s="81"/>
      <c r="R110" s="37"/>
      <c r="S110" s="35"/>
      <c r="T110" s="91"/>
      <c r="U110" s="81"/>
      <c r="V110" s="92"/>
      <c r="W110" s="89"/>
      <c r="X110" s="91"/>
      <c r="Y110" s="81"/>
      <c r="Z110" s="92"/>
      <c r="AA110" s="89"/>
      <c r="AB110" s="91"/>
      <c r="AC110" s="81"/>
      <c r="AE110" s="204"/>
    </row>
    <row r="111" spans="1:31" s="3" customFormat="1" x14ac:dyDescent="0.3">
      <c r="A111" s="204"/>
      <c r="B111" s="3" t="s">
        <v>147</v>
      </c>
      <c r="C111" s="3" t="s">
        <v>379</v>
      </c>
      <c r="D111" s="3" t="s">
        <v>44</v>
      </c>
      <c r="E111" s="3">
        <v>56258</v>
      </c>
      <c r="F111" s="122"/>
      <c r="G111" s="89"/>
      <c r="H111" s="127"/>
      <c r="I111" s="81"/>
      <c r="J111" s="122"/>
      <c r="K111" s="89"/>
      <c r="L111" s="127"/>
      <c r="M111" s="81"/>
      <c r="N111" s="88"/>
      <c r="O111" s="89"/>
      <c r="P111" s="81"/>
      <c r="Q111" s="81"/>
      <c r="R111" s="37"/>
      <c r="S111" s="35"/>
      <c r="T111" s="91"/>
      <c r="U111" s="81"/>
      <c r="V111" s="92"/>
      <c r="W111" s="89"/>
      <c r="X111" s="91"/>
      <c r="Y111" s="81"/>
      <c r="Z111" s="92"/>
      <c r="AA111" s="89"/>
      <c r="AB111" s="91"/>
      <c r="AC111" s="81"/>
      <c r="AE111" s="204"/>
    </row>
    <row r="112" spans="1:31" s="3" customFormat="1" x14ac:dyDescent="0.3">
      <c r="A112" s="204"/>
      <c r="B112" s="3" t="s">
        <v>147</v>
      </c>
      <c r="C112" s="3" t="s">
        <v>380</v>
      </c>
      <c r="D112" s="3" t="s">
        <v>44</v>
      </c>
      <c r="E112" s="3">
        <v>55678</v>
      </c>
      <c r="F112" s="122"/>
      <c r="G112" s="89"/>
      <c r="H112" s="127"/>
      <c r="I112" s="81"/>
      <c r="J112" s="122"/>
      <c r="K112" s="89"/>
      <c r="L112" s="127"/>
      <c r="M112" s="81"/>
      <c r="N112" s="88"/>
      <c r="O112" s="89"/>
      <c r="P112" s="81"/>
      <c r="Q112" s="81"/>
      <c r="R112" s="37"/>
      <c r="S112" s="35"/>
      <c r="T112" s="91"/>
      <c r="U112" s="81"/>
      <c r="V112" s="92"/>
      <c r="W112" s="89"/>
      <c r="X112" s="91"/>
      <c r="Y112" s="81"/>
      <c r="Z112" s="92"/>
      <c r="AA112" s="89"/>
      <c r="AB112" s="91"/>
      <c r="AC112" s="81"/>
      <c r="AE112" s="204"/>
    </row>
    <row r="113" spans="1:43" s="3" customFormat="1" x14ac:dyDescent="0.3">
      <c r="A113" s="204"/>
      <c r="F113" s="122"/>
      <c r="G113" s="89"/>
      <c r="H113" s="127"/>
      <c r="I113" s="81"/>
      <c r="J113" s="122"/>
      <c r="K113" s="89"/>
      <c r="L113" s="91"/>
      <c r="M113" s="81"/>
      <c r="N113" s="88"/>
      <c r="O113" s="89"/>
      <c r="P113" s="81"/>
      <c r="Q113" s="90"/>
      <c r="R113" s="37"/>
      <c r="S113" s="35"/>
      <c r="T113" s="91"/>
      <c r="U113" s="81"/>
      <c r="V113" s="88"/>
      <c r="W113" s="89"/>
      <c r="X113" s="91"/>
      <c r="Y113" s="81"/>
      <c r="Z113" s="88"/>
      <c r="AA113" s="89"/>
      <c r="AB113" s="81"/>
      <c r="AC113" s="90"/>
      <c r="AE113" s="204"/>
    </row>
    <row r="114" spans="1:43" s="3" customFormat="1" x14ac:dyDescent="0.3">
      <c r="A114" s="204"/>
      <c r="B114" s="3" t="s">
        <v>381</v>
      </c>
      <c r="C114" s="3" t="s">
        <v>382</v>
      </c>
      <c r="F114" s="122"/>
      <c r="G114" s="89"/>
      <c r="H114" s="127"/>
      <c r="I114" s="81"/>
      <c r="J114" s="122"/>
      <c r="K114" s="89"/>
      <c r="L114" s="91"/>
      <c r="M114" s="81"/>
      <c r="N114" s="88"/>
      <c r="O114" s="89"/>
      <c r="P114" s="81"/>
      <c r="Q114" s="90"/>
      <c r="R114" s="37"/>
      <c r="S114" s="35"/>
      <c r="T114" s="91"/>
      <c r="U114" s="81"/>
      <c r="V114" s="88"/>
      <c r="W114" s="89"/>
      <c r="X114" s="91"/>
      <c r="Y114" s="81"/>
      <c r="Z114" s="88"/>
      <c r="AA114" s="89"/>
      <c r="AB114" s="81"/>
      <c r="AC114" s="90"/>
      <c r="AE114" s="204"/>
    </row>
    <row r="115" spans="1:43" s="3" customFormat="1" x14ac:dyDescent="0.3">
      <c r="A115" s="204"/>
      <c r="B115" s="3" t="s">
        <v>383</v>
      </c>
      <c r="C115" s="3" t="s">
        <v>382</v>
      </c>
      <c r="F115" s="122"/>
      <c r="G115" s="89"/>
      <c r="H115" s="127"/>
      <c r="I115" s="81"/>
      <c r="J115" s="122"/>
      <c r="K115" s="89"/>
      <c r="L115" s="91"/>
      <c r="M115" s="81"/>
      <c r="N115" s="88"/>
      <c r="O115" s="89"/>
      <c r="P115" s="81"/>
      <c r="Q115" s="90"/>
      <c r="R115" s="37"/>
      <c r="S115" s="35"/>
      <c r="T115" s="91"/>
      <c r="U115" s="81"/>
      <c r="V115" s="88"/>
      <c r="W115" s="89"/>
      <c r="X115" s="91"/>
      <c r="Y115" s="81"/>
      <c r="Z115" s="88"/>
      <c r="AA115" s="89"/>
      <c r="AB115" s="81"/>
      <c r="AC115" s="90"/>
      <c r="AE115" s="204"/>
    </row>
    <row r="116" spans="1:43" s="3" customFormat="1" x14ac:dyDescent="0.3">
      <c r="A116" s="204"/>
      <c r="B116" s="3" t="s">
        <v>384</v>
      </c>
      <c r="C116" s="3" t="s">
        <v>382</v>
      </c>
      <c r="F116" s="122"/>
      <c r="G116" s="89"/>
      <c r="H116" s="127"/>
      <c r="I116" s="81"/>
      <c r="J116" s="122"/>
      <c r="K116" s="89"/>
      <c r="L116" s="91"/>
      <c r="M116" s="81"/>
      <c r="N116" s="88"/>
      <c r="O116" s="89"/>
      <c r="P116" s="81"/>
      <c r="Q116" s="90"/>
      <c r="R116" s="37"/>
      <c r="S116" s="35"/>
      <c r="T116" s="91"/>
      <c r="U116" s="81"/>
      <c r="V116" s="88"/>
      <c r="W116" s="89"/>
      <c r="X116" s="91"/>
      <c r="Y116" s="81"/>
      <c r="Z116" s="88"/>
      <c r="AA116" s="89"/>
      <c r="AB116" s="81"/>
      <c r="AC116" s="90"/>
      <c r="AE116" s="204"/>
    </row>
    <row r="117" spans="1:43" s="3" customFormat="1" x14ac:dyDescent="0.3">
      <c r="A117" s="204"/>
      <c r="B117" s="3" t="s">
        <v>385</v>
      </c>
      <c r="C117" s="3" t="s">
        <v>382</v>
      </c>
      <c r="F117" s="122"/>
      <c r="G117" s="89"/>
      <c r="H117" s="127"/>
      <c r="I117" s="81"/>
      <c r="J117" s="122"/>
      <c r="K117" s="89"/>
      <c r="L117" s="91"/>
      <c r="M117" s="81"/>
      <c r="N117" s="88"/>
      <c r="O117" s="89"/>
      <c r="P117" s="81"/>
      <c r="Q117" s="90"/>
      <c r="R117" s="37"/>
      <c r="S117" s="35"/>
      <c r="T117" s="91"/>
      <c r="U117" s="81"/>
      <c r="V117" s="88"/>
      <c r="W117" s="89"/>
      <c r="X117" s="91"/>
      <c r="Y117" s="81"/>
      <c r="Z117" s="88"/>
      <c r="AA117" s="89"/>
      <c r="AB117" s="81"/>
      <c r="AC117" s="90"/>
      <c r="AE117" s="204"/>
    </row>
    <row r="118" spans="1:43" s="3" customFormat="1" x14ac:dyDescent="0.3">
      <c r="A118" s="204"/>
      <c r="B118" s="3" t="s">
        <v>346</v>
      </c>
      <c r="C118" s="3" t="s">
        <v>382</v>
      </c>
      <c r="F118" s="122"/>
      <c r="G118" s="89"/>
      <c r="H118" s="127"/>
      <c r="I118" s="81"/>
      <c r="J118" s="122"/>
      <c r="K118" s="89"/>
      <c r="L118" s="91"/>
      <c r="M118" s="81"/>
      <c r="N118" s="88"/>
      <c r="O118" s="89"/>
      <c r="P118" s="81"/>
      <c r="Q118" s="90"/>
      <c r="R118" s="37"/>
      <c r="S118" s="35"/>
      <c r="T118" s="91"/>
      <c r="U118" s="81"/>
      <c r="V118" s="88"/>
      <c r="W118" s="89"/>
      <c r="X118" s="91"/>
      <c r="Y118" s="81"/>
      <c r="Z118" s="88"/>
      <c r="AA118" s="89"/>
      <c r="AB118" s="81"/>
      <c r="AC118" s="90"/>
      <c r="AE118" s="204"/>
    </row>
    <row r="119" spans="1:43" s="3" customFormat="1" x14ac:dyDescent="0.3">
      <c r="A119" s="204"/>
      <c r="B119" s="3" t="s">
        <v>386</v>
      </c>
      <c r="F119" s="122"/>
      <c r="G119" s="89"/>
      <c r="H119" s="127"/>
      <c r="I119" s="81"/>
      <c r="J119" s="122"/>
      <c r="K119" s="89"/>
      <c r="L119" s="81"/>
      <c r="M119" s="81"/>
      <c r="N119" s="88"/>
      <c r="O119" s="89"/>
      <c r="P119" s="81"/>
      <c r="Q119" s="90"/>
      <c r="R119" s="37"/>
      <c r="S119" s="35"/>
      <c r="T119" s="81"/>
      <c r="U119" s="81"/>
      <c r="V119" s="88"/>
      <c r="W119" s="89"/>
      <c r="X119" s="81"/>
      <c r="Y119" s="81"/>
      <c r="Z119" s="88"/>
      <c r="AA119" s="89"/>
      <c r="AB119" s="81"/>
      <c r="AC119" s="90"/>
      <c r="AE119" s="204"/>
    </row>
    <row r="120" spans="1:43" s="3" customFormat="1" x14ac:dyDescent="0.3">
      <c r="A120" s="204"/>
      <c r="B120" s="3" t="s">
        <v>387</v>
      </c>
      <c r="E120" s="3">
        <v>68013</v>
      </c>
      <c r="F120" s="122"/>
      <c r="G120" s="89"/>
      <c r="H120" s="127"/>
      <c r="I120" s="81"/>
      <c r="J120" s="122"/>
      <c r="K120" s="89"/>
      <c r="L120" s="10"/>
      <c r="M120" s="16"/>
      <c r="N120" s="37"/>
      <c r="O120" s="35"/>
      <c r="P120" s="10"/>
      <c r="Q120" s="19"/>
      <c r="R120" s="37"/>
      <c r="S120" s="35"/>
      <c r="T120" s="10"/>
      <c r="U120" s="16"/>
      <c r="V120" s="37"/>
      <c r="W120" s="35"/>
      <c r="X120" s="10"/>
      <c r="Y120" s="16"/>
      <c r="Z120" s="37"/>
      <c r="AA120" s="35"/>
      <c r="AB120" s="10"/>
      <c r="AC120" s="19"/>
      <c r="AE120" s="204"/>
    </row>
    <row r="121" spans="1:43" s="3" customFormat="1" x14ac:dyDescent="0.3">
      <c r="A121" s="204"/>
      <c r="F121" s="123"/>
      <c r="G121" s="35"/>
      <c r="H121" s="128"/>
      <c r="I121" s="16"/>
      <c r="J121" s="123"/>
      <c r="K121" s="35"/>
      <c r="L121" s="10"/>
      <c r="M121" s="16"/>
      <c r="N121" s="37"/>
      <c r="O121" s="35"/>
      <c r="P121" s="10"/>
      <c r="Q121" s="19"/>
      <c r="R121" s="37"/>
      <c r="S121" s="35"/>
      <c r="T121" s="10"/>
      <c r="U121" s="16"/>
      <c r="V121" s="37"/>
      <c r="W121" s="35"/>
      <c r="X121" s="10"/>
      <c r="Y121" s="16"/>
      <c r="Z121" s="37"/>
      <c r="AA121" s="35"/>
      <c r="AB121" s="10"/>
      <c r="AC121" s="19"/>
      <c r="AE121" s="204"/>
    </row>
    <row r="122" spans="1:43" s="3" customFormat="1" x14ac:dyDescent="0.3">
      <c r="A122" s="204"/>
      <c r="B122" s="3" t="s">
        <v>388</v>
      </c>
      <c r="F122" s="124"/>
      <c r="G122" s="36"/>
      <c r="H122" s="125"/>
      <c r="J122" s="124"/>
      <c r="K122" s="36"/>
      <c r="N122" s="36"/>
      <c r="O122" s="36"/>
      <c r="Q122" s="4"/>
      <c r="R122" s="36"/>
      <c r="S122" s="36"/>
      <c r="V122" s="36"/>
      <c r="W122" s="36"/>
      <c r="Z122" s="36"/>
      <c r="AA122" s="36"/>
      <c r="AC122" s="4"/>
      <c r="AE122" s="34"/>
    </row>
    <row r="123" spans="1:43" s="3" customFormat="1" x14ac:dyDescent="0.3">
      <c r="F123" s="125"/>
      <c r="G123" s="32"/>
      <c r="H123" s="125"/>
      <c r="I123" s="32"/>
      <c r="J123" s="125"/>
      <c r="K123" s="32"/>
      <c r="L123" s="32"/>
      <c r="M123" s="32"/>
      <c r="N123" s="32"/>
      <c r="O123" s="32"/>
      <c r="P123" s="32"/>
      <c r="Q123" s="32"/>
      <c r="S123" s="32"/>
      <c r="U123" s="32"/>
      <c r="W123" s="32"/>
      <c r="Y123" s="32"/>
      <c r="AA123" s="32"/>
      <c r="AC123" s="32"/>
    </row>
    <row r="124" spans="1:43" x14ac:dyDescent="0.3">
      <c r="A124" s="21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</row>
    <row r="125" spans="1:43" x14ac:dyDescent="0.3">
      <c r="A125" s="21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</row>
    <row r="126" spans="1:43" x14ac:dyDescent="0.3">
      <c r="A126" s="21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</row>
    <row r="127" spans="1:43" x14ac:dyDescent="0.3">
      <c r="A127" s="21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</row>
    <row r="128" spans="1:43" x14ac:dyDescent="0.3">
      <c r="A128" s="21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</row>
    <row r="129" spans="1:43" x14ac:dyDescent="0.3">
      <c r="A129" s="21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</row>
    <row r="130" spans="1:43" x14ac:dyDescent="0.3">
      <c r="A130" s="21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</row>
    <row r="131" spans="1:43" x14ac:dyDescent="0.3">
      <c r="A131" s="21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</row>
    <row r="132" spans="1:43" x14ac:dyDescent="0.3">
      <c r="A132" s="21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</row>
    <row r="133" spans="1:43" x14ac:dyDescent="0.3">
      <c r="A133" s="21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</row>
    <row r="134" spans="1:43" x14ac:dyDescent="0.3">
      <c r="A134" s="21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</row>
    <row r="135" spans="1:43" x14ac:dyDescent="0.3">
      <c r="A135" s="21"/>
      <c r="K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</row>
    <row r="136" spans="1:43" x14ac:dyDescent="0.3">
      <c r="A136" s="21"/>
    </row>
    <row r="137" spans="1:43" x14ac:dyDescent="0.3">
      <c r="A137" s="21"/>
    </row>
    <row r="138" spans="1:43" x14ac:dyDescent="0.3">
      <c r="A138" s="21"/>
    </row>
    <row r="139" spans="1:43" x14ac:dyDescent="0.3">
      <c r="A139" s="21"/>
    </row>
    <row r="140" spans="1:43" x14ac:dyDescent="0.3">
      <c r="A140" s="21"/>
    </row>
    <row r="141" spans="1:43" x14ac:dyDescent="0.3">
      <c r="A141" s="21"/>
    </row>
    <row r="142" spans="1:43" x14ac:dyDescent="0.3">
      <c r="A142" s="21"/>
    </row>
    <row r="143" spans="1:43" x14ac:dyDescent="0.3">
      <c r="A143" s="21"/>
    </row>
    <row r="144" spans="1:43" x14ac:dyDescent="0.3">
      <c r="A144" s="21"/>
    </row>
    <row r="145" spans="1:1" x14ac:dyDescent="0.3">
      <c r="A145" s="21"/>
    </row>
    <row r="146" spans="1:1" x14ac:dyDescent="0.3">
      <c r="A146" s="21"/>
    </row>
    <row r="147" spans="1:1" x14ac:dyDescent="0.3">
      <c r="A147" s="21"/>
    </row>
    <row r="148" spans="1:1" x14ac:dyDescent="0.3">
      <c r="A148" s="21"/>
    </row>
    <row r="149" spans="1:1" x14ac:dyDescent="0.3">
      <c r="A149" s="21"/>
    </row>
    <row r="150" spans="1:1" x14ac:dyDescent="0.3">
      <c r="A150" s="21"/>
    </row>
    <row r="151" spans="1:1" x14ac:dyDescent="0.3">
      <c r="A151" s="21"/>
    </row>
    <row r="152" spans="1:1" x14ac:dyDescent="0.3">
      <c r="A152" s="21"/>
    </row>
    <row r="153" spans="1:1" x14ac:dyDescent="0.3">
      <c r="A153" s="21"/>
    </row>
    <row r="154" spans="1:1" x14ac:dyDescent="0.3">
      <c r="A154" s="21"/>
    </row>
    <row r="155" spans="1:1" x14ac:dyDescent="0.3">
      <c r="A155" s="21"/>
    </row>
    <row r="156" spans="1:1" x14ac:dyDescent="0.3">
      <c r="A156" s="21"/>
    </row>
    <row r="157" spans="1:1" x14ac:dyDescent="0.3">
      <c r="A157" s="21"/>
    </row>
    <row r="158" spans="1:1" x14ac:dyDescent="0.3">
      <c r="A158" s="21"/>
    </row>
    <row r="159" spans="1:1" x14ac:dyDescent="0.3">
      <c r="A159" s="21"/>
    </row>
    <row r="160" spans="1:1" x14ac:dyDescent="0.3">
      <c r="A160" s="21"/>
    </row>
    <row r="161" spans="1:1" x14ac:dyDescent="0.3">
      <c r="A161" s="21"/>
    </row>
    <row r="162" spans="1:1" x14ac:dyDescent="0.3">
      <c r="A162" s="21"/>
    </row>
    <row r="163" spans="1:1" x14ac:dyDescent="0.3">
      <c r="A163" s="21"/>
    </row>
    <row r="164" spans="1:1" x14ac:dyDescent="0.3">
      <c r="A164" s="21"/>
    </row>
    <row r="165" spans="1:1" x14ac:dyDescent="0.3">
      <c r="A165" s="21"/>
    </row>
    <row r="166" spans="1:1" x14ac:dyDescent="0.3">
      <c r="A166" s="21"/>
    </row>
    <row r="167" spans="1:1" x14ac:dyDescent="0.3">
      <c r="A167" s="21"/>
    </row>
    <row r="168" spans="1:1" x14ac:dyDescent="0.3">
      <c r="A168" s="21"/>
    </row>
    <row r="169" spans="1:1" x14ac:dyDescent="0.3">
      <c r="A169" s="21"/>
    </row>
    <row r="170" spans="1:1" x14ac:dyDescent="0.3">
      <c r="A170" s="21"/>
    </row>
    <row r="171" spans="1:1" x14ac:dyDescent="0.3">
      <c r="A171" s="21"/>
    </row>
    <row r="172" spans="1:1" x14ac:dyDescent="0.3">
      <c r="A172" s="21"/>
    </row>
    <row r="173" spans="1:1" x14ac:dyDescent="0.3">
      <c r="A173" s="21"/>
    </row>
    <row r="174" spans="1:1" x14ac:dyDescent="0.3">
      <c r="A174" s="21"/>
    </row>
  </sheetData>
  <mergeCells count="32">
    <mergeCell ref="AE4:AE121"/>
    <mergeCell ref="AB4:AB5"/>
    <mergeCell ref="E4:E5"/>
    <mergeCell ref="O4:O5"/>
    <mergeCell ref="AC4:AC5"/>
    <mergeCell ref="W4:W5"/>
    <mergeCell ref="F4:F5"/>
    <mergeCell ref="Y4:Y5"/>
    <mergeCell ref="N4:N5"/>
    <mergeCell ref="H4:H5"/>
    <mergeCell ref="P4:P5"/>
    <mergeCell ref="B4:B5"/>
    <mergeCell ref="R4:R5"/>
    <mergeCell ref="T4:T5"/>
    <mergeCell ref="C4:C5"/>
    <mergeCell ref="V4:V5"/>
    <mergeCell ref="AG4:AO4"/>
    <mergeCell ref="A1:B1"/>
    <mergeCell ref="Q4:Q5"/>
    <mergeCell ref="D4:D5"/>
    <mergeCell ref="J4:J5"/>
    <mergeCell ref="AA4:AA5"/>
    <mergeCell ref="L4:L5"/>
    <mergeCell ref="A4:A122"/>
    <mergeCell ref="X4:X5"/>
    <mergeCell ref="G4:G5"/>
    <mergeCell ref="Z4:Z5"/>
    <mergeCell ref="I4:I5"/>
    <mergeCell ref="K4:K5"/>
    <mergeCell ref="S4:S5"/>
    <mergeCell ref="U4:U5"/>
    <mergeCell ref="M4:M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72"/>
  <sheetViews>
    <sheetView workbookViewId="0">
      <pane xSplit="3" topLeftCell="K1" activePane="topRight" state="frozen"/>
      <selection pane="topRight" activeCell="F6" sqref="F6:S76"/>
    </sheetView>
  </sheetViews>
  <sheetFormatPr defaultColWidth="11" defaultRowHeight="15.6" x14ac:dyDescent="0.3"/>
  <cols>
    <col min="1" max="1" width="12.19921875" customWidth="1"/>
    <col min="2" max="2" width="36.69921875" customWidth="1"/>
    <col min="3" max="3" width="20.5" style="3" customWidth="1"/>
    <col min="4" max="4" width="20.19921875" bestFit="1" customWidth="1"/>
    <col min="5" max="5" width="19" style="3" customWidth="1"/>
    <col min="6" max="6" width="18" customWidth="1"/>
    <col min="36" max="36" width="12" customWidth="1"/>
    <col min="37" max="38" width="15.19921875" customWidth="1"/>
  </cols>
  <sheetData>
    <row r="1" spans="1:40" s="1" customFormat="1" ht="25.5" customHeight="1" x14ac:dyDescent="0.3">
      <c r="B1" s="105" t="s">
        <v>389</v>
      </c>
      <c r="C1" s="105"/>
      <c r="D1" s="105" t="s">
        <v>390</v>
      </c>
      <c r="E1" s="105" t="s">
        <v>391</v>
      </c>
      <c r="F1" s="1">
        <v>2025</v>
      </c>
      <c r="R1" s="1">
        <v>2026</v>
      </c>
    </row>
    <row r="4" spans="1:40" s="2" customFormat="1" ht="20.100000000000001" customHeight="1" x14ac:dyDescent="0.3">
      <c r="A4" s="223" t="s">
        <v>4</v>
      </c>
      <c r="B4" s="176" t="s">
        <v>5</v>
      </c>
      <c r="C4" s="176" t="s">
        <v>6</v>
      </c>
      <c r="D4" s="176" t="s">
        <v>7</v>
      </c>
      <c r="E4" s="199" t="s">
        <v>392</v>
      </c>
      <c r="F4" s="226" t="s">
        <v>326</v>
      </c>
      <c r="G4" s="225" t="s">
        <v>10</v>
      </c>
      <c r="H4" s="185" t="s">
        <v>11</v>
      </c>
      <c r="I4" s="185" t="s">
        <v>12</v>
      </c>
      <c r="J4" s="224" t="s">
        <v>13</v>
      </c>
      <c r="K4" s="225" t="s">
        <v>14</v>
      </c>
      <c r="L4" s="185" t="s">
        <v>15</v>
      </c>
      <c r="M4" s="185" t="s">
        <v>16</v>
      </c>
      <c r="N4" s="221" t="s">
        <v>17</v>
      </c>
      <c r="O4" s="222" t="s">
        <v>18</v>
      </c>
      <c r="P4" s="185" t="s">
        <v>19</v>
      </c>
      <c r="Q4" s="185" t="s">
        <v>20</v>
      </c>
      <c r="R4" s="221" t="s">
        <v>21</v>
      </c>
      <c r="S4" s="222" t="s">
        <v>22</v>
      </c>
      <c r="T4" s="185" t="s">
        <v>23</v>
      </c>
      <c r="U4" s="185" t="s">
        <v>24</v>
      </c>
      <c r="V4" s="221" t="s">
        <v>25</v>
      </c>
      <c r="W4" s="222" t="s">
        <v>26</v>
      </c>
      <c r="X4" s="185" t="s">
        <v>27</v>
      </c>
      <c r="Y4" s="185" t="s">
        <v>28</v>
      </c>
      <c r="Z4" s="221" t="s">
        <v>29</v>
      </c>
      <c r="AA4" s="222" t="s">
        <v>30</v>
      </c>
      <c r="AB4" s="185" t="s">
        <v>31</v>
      </c>
      <c r="AC4" s="188" t="s">
        <v>32</v>
      </c>
      <c r="AE4" s="219" t="s">
        <v>33</v>
      </c>
      <c r="AG4" s="218" t="s">
        <v>393</v>
      </c>
      <c r="AH4" s="218"/>
      <c r="AI4" s="218"/>
      <c r="AJ4" s="218"/>
      <c r="AK4" s="218"/>
      <c r="AL4" s="218"/>
      <c r="AM4" s="218"/>
      <c r="AN4" s="218"/>
    </row>
    <row r="5" spans="1:40" s="2" customFormat="1" ht="20.100000000000001" customHeight="1" x14ac:dyDescent="0.3">
      <c r="A5" s="179"/>
      <c r="B5" s="177"/>
      <c r="C5" s="177"/>
      <c r="D5" s="177"/>
      <c r="E5" s="189"/>
      <c r="F5" s="217"/>
      <c r="G5" s="191"/>
      <c r="H5" s="177"/>
      <c r="I5" s="177"/>
      <c r="J5" s="198"/>
      <c r="K5" s="191"/>
      <c r="L5" s="177"/>
      <c r="M5" s="177"/>
      <c r="N5" s="187"/>
      <c r="O5" s="182"/>
      <c r="P5" s="177"/>
      <c r="Q5" s="177"/>
      <c r="R5" s="187"/>
      <c r="S5" s="182"/>
      <c r="T5" s="177"/>
      <c r="U5" s="177"/>
      <c r="V5" s="187"/>
      <c r="W5" s="182"/>
      <c r="X5" s="177"/>
      <c r="Y5" s="177"/>
      <c r="Z5" s="187"/>
      <c r="AA5" s="182"/>
      <c r="AB5" s="177"/>
      <c r="AC5" s="189"/>
      <c r="AE5" s="179"/>
      <c r="AG5" s="147" t="s">
        <v>36</v>
      </c>
      <c r="AH5" s="148" t="s">
        <v>37</v>
      </c>
      <c r="AI5" s="148" t="s">
        <v>38</v>
      </c>
      <c r="AJ5" s="148" t="s">
        <v>40</v>
      </c>
      <c r="AK5" s="148" t="s">
        <v>43</v>
      </c>
      <c r="AL5" s="148" t="s">
        <v>394</v>
      </c>
      <c r="AM5" s="148" t="s">
        <v>44</v>
      </c>
      <c r="AN5" s="148" t="s">
        <v>39</v>
      </c>
    </row>
    <row r="6" spans="1:40" x14ac:dyDescent="0.3">
      <c r="A6" s="180"/>
      <c r="B6" s="3" t="s">
        <v>147</v>
      </c>
      <c r="C6" s="3" t="s">
        <v>395</v>
      </c>
      <c r="D6" s="3" t="s">
        <v>39</v>
      </c>
      <c r="E6" s="3">
        <v>746</v>
      </c>
      <c r="F6" s="53"/>
      <c r="G6" s="47"/>
      <c r="H6" s="82"/>
      <c r="I6" s="81"/>
      <c r="J6" s="53"/>
      <c r="K6" s="47"/>
      <c r="L6" s="10"/>
      <c r="M6" s="16"/>
      <c r="N6" s="53"/>
      <c r="O6" s="47"/>
      <c r="P6" s="10"/>
      <c r="Q6" s="19"/>
      <c r="R6" s="53"/>
      <c r="S6" s="47"/>
      <c r="T6" s="82"/>
      <c r="U6" s="81"/>
      <c r="V6" s="53"/>
      <c r="W6" s="47"/>
      <c r="X6" s="10"/>
      <c r="Y6" s="16"/>
      <c r="Z6" s="53"/>
      <c r="AA6" s="47"/>
      <c r="AB6" s="10"/>
      <c r="AC6" s="19"/>
      <c r="AE6" s="180"/>
      <c r="AG6" s="143" t="s">
        <v>396</v>
      </c>
      <c r="AH6" s="144">
        <f>SUM(G6:G72)</f>
        <v>0</v>
      </c>
      <c r="AI6" s="145">
        <f>SUM(F6:F72)</f>
        <v>0</v>
      </c>
      <c r="AJ6" s="146">
        <f>SUMIF($D$6:$D$72,"Operational",F$6:F$72)</f>
        <v>0</v>
      </c>
      <c r="AK6" s="146">
        <f>SUMIF($D$6:$D$72,"College Houses",F$6:F$72)</f>
        <v>0</v>
      </c>
      <c r="AL6" s="146">
        <f>SUMIF($D$6:$D$72,"Residence Hall",F$6:F$72)</f>
        <v>0</v>
      </c>
      <c r="AM6" s="146">
        <f>SUMIF($D$6:$D$72,"Athletics",F$6:F$72)</f>
        <v>0</v>
      </c>
      <c r="AN6" s="146">
        <f>SUMIF($D$6:$D$72,"Academic",F$6:F$72)</f>
        <v>0</v>
      </c>
    </row>
    <row r="7" spans="1:40" x14ac:dyDescent="0.3">
      <c r="A7" s="180"/>
      <c r="B7" s="6" t="s">
        <v>147</v>
      </c>
      <c r="C7" s="6" t="s">
        <v>397</v>
      </c>
      <c r="D7" s="6" t="s">
        <v>40</v>
      </c>
      <c r="E7" s="6">
        <v>703</v>
      </c>
      <c r="F7" s="55"/>
      <c r="G7" s="41"/>
      <c r="H7" s="84"/>
      <c r="I7" s="83"/>
      <c r="J7" s="134"/>
      <c r="K7" s="41"/>
      <c r="L7" s="11"/>
      <c r="M7" s="17"/>
      <c r="N7" s="55"/>
      <c r="O7" s="41"/>
      <c r="P7" s="11"/>
      <c r="Q7" s="20"/>
      <c r="R7" s="55"/>
      <c r="S7" s="41"/>
      <c r="T7" s="84"/>
      <c r="U7" s="83"/>
      <c r="V7" s="55"/>
      <c r="W7" s="41"/>
      <c r="X7" s="11"/>
      <c r="Y7" s="17"/>
      <c r="Z7" s="55"/>
      <c r="AA7" s="41"/>
      <c r="AB7" s="11"/>
      <c r="AC7" s="20"/>
      <c r="AE7" s="180"/>
      <c r="AG7" s="135" t="s">
        <v>398</v>
      </c>
      <c r="AH7" s="136">
        <f>SUM(I6:I72)</f>
        <v>0</v>
      </c>
      <c r="AI7" s="139">
        <f>SUM(H6:H72)</f>
        <v>0</v>
      </c>
      <c r="AJ7" s="138">
        <f>SUMIF($D$6:$D$72,"Operational",H$6:H$72)</f>
        <v>0</v>
      </c>
      <c r="AK7" s="138">
        <f>SUMIF($D$6:$D$72,"College Houses",H$6:H$72)</f>
        <v>0</v>
      </c>
      <c r="AL7" s="138">
        <f>SUMIF($D$6:$D$72,"Residence Hall",H$6:H$72)</f>
        <v>0</v>
      </c>
      <c r="AM7" s="138">
        <f>SUMIF($D$6:$D$72,"Athletics",H$6:H$72)</f>
        <v>0</v>
      </c>
      <c r="AN7" s="138">
        <f>SUMIF($D$6:$D$72,"Academic",H$6:H$72)</f>
        <v>0</v>
      </c>
    </row>
    <row r="8" spans="1:40" x14ac:dyDescent="0.3">
      <c r="A8" s="180"/>
      <c r="B8" s="3"/>
      <c r="D8" s="3"/>
      <c r="F8" s="42"/>
      <c r="G8" s="16"/>
      <c r="H8" s="10"/>
      <c r="I8" s="16"/>
      <c r="J8" s="42"/>
      <c r="K8" s="16"/>
      <c r="L8" s="10"/>
      <c r="M8" s="16"/>
      <c r="N8" s="42"/>
      <c r="O8" s="52"/>
      <c r="P8" s="10"/>
      <c r="Q8" s="16"/>
      <c r="R8" s="58"/>
      <c r="S8" s="16"/>
      <c r="T8" s="81"/>
      <c r="U8" s="81"/>
      <c r="V8" s="58"/>
      <c r="W8" s="16"/>
      <c r="X8" s="10"/>
      <c r="Y8" s="16"/>
      <c r="Z8" s="58"/>
      <c r="AA8" s="16"/>
      <c r="AB8" s="10"/>
      <c r="AC8" s="19"/>
      <c r="AE8" s="180"/>
      <c r="AG8" s="135" t="s">
        <v>399</v>
      </c>
      <c r="AH8" s="136">
        <f>SUM(K6:K72)</f>
        <v>0</v>
      </c>
      <c r="AI8" s="137">
        <f>SUM(J6:J72)</f>
        <v>0</v>
      </c>
      <c r="AJ8" s="138">
        <f>SUMIF($D$6:$D$72,"Operational",J$6:J$72)</f>
        <v>0</v>
      </c>
      <c r="AK8" s="138">
        <f>SUMIF($D$6:$D$72,"College Houses",J$6:J$72)</f>
        <v>0</v>
      </c>
      <c r="AL8" s="138">
        <f>SUMIF($D$6:$D$72,"Residence Hall",J$6:J$72)</f>
        <v>0</v>
      </c>
      <c r="AM8" s="138">
        <f>SUMIF($D$6:$D$72,"Athletics",J$6:J$72)</f>
        <v>0</v>
      </c>
      <c r="AN8" s="138">
        <f>SUMIF($D$6:$D$72,"Academic",J$6:J$72)</f>
        <v>0</v>
      </c>
    </row>
    <row r="9" spans="1:40" x14ac:dyDescent="0.3">
      <c r="A9" s="180"/>
      <c r="B9" s="3"/>
      <c r="D9" s="3"/>
      <c r="F9" s="10"/>
      <c r="G9" s="16"/>
      <c r="H9" s="10"/>
      <c r="I9" s="16"/>
      <c r="J9" s="10"/>
      <c r="K9" s="16"/>
      <c r="L9" s="10"/>
      <c r="M9" s="16"/>
      <c r="N9" s="10"/>
      <c r="O9" s="52"/>
      <c r="P9" s="10"/>
      <c r="Q9" s="16"/>
      <c r="R9" s="58"/>
      <c r="S9" s="16"/>
      <c r="T9" s="81"/>
      <c r="U9" s="81"/>
      <c r="V9" s="58"/>
      <c r="W9" s="16"/>
      <c r="X9" s="10"/>
      <c r="Y9" s="16"/>
      <c r="Z9" s="58"/>
      <c r="AA9" s="16"/>
      <c r="AB9" s="10"/>
      <c r="AC9" s="19"/>
      <c r="AE9" s="180"/>
      <c r="AG9" s="135" t="s">
        <v>400</v>
      </c>
      <c r="AH9" s="136">
        <f>SUM(M6:M72)</f>
        <v>0</v>
      </c>
      <c r="AI9" s="137">
        <f>SUM(L6:L72)</f>
        <v>0</v>
      </c>
      <c r="AJ9" s="138">
        <f>SUMIF($D$6:$D$72,"Operational",L$6:L$72)</f>
        <v>0</v>
      </c>
      <c r="AK9" s="138">
        <f>SUMIF($D$6:$D$72,"College Houses",L$6:L$72)</f>
        <v>0</v>
      </c>
      <c r="AL9" s="138">
        <f>SUMIF($D$6:$D$72,"Residence Hall",L$6:L$72)</f>
        <v>0</v>
      </c>
      <c r="AM9" s="138">
        <f>SUMIF($D$6:$D$72,"Athletics",L$6:L$72)</f>
        <v>0</v>
      </c>
      <c r="AN9" s="138">
        <f>SUMIF($D$6:$D$72,"Academic",L$6:L$72)</f>
        <v>0</v>
      </c>
    </row>
    <row r="10" spans="1:40" ht="25.5" customHeight="1" x14ac:dyDescent="0.5">
      <c r="A10" s="180"/>
      <c r="B10" s="105" t="s">
        <v>401</v>
      </c>
      <c r="C10" s="105">
        <v>2024</v>
      </c>
      <c r="D10" s="105" t="s">
        <v>390</v>
      </c>
      <c r="E10" s="105" t="s">
        <v>391</v>
      </c>
      <c r="F10" s="86"/>
      <c r="G10" s="43"/>
      <c r="H10" s="86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85"/>
      <c r="U10" s="85"/>
      <c r="V10" s="43"/>
      <c r="W10" s="43"/>
      <c r="X10" s="43"/>
      <c r="Y10" s="43"/>
      <c r="Z10" s="43"/>
      <c r="AA10" s="43"/>
      <c r="AB10" s="43"/>
      <c r="AC10" s="44"/>
      <c r="AE10" s="180"/>
      <c r="AG10" s="135" t="s">
        <v>402</v>
      </c>
      <c r="AH10" s="136">
        <f>SUM(O6:O72)</f>
        <v>0</v>
      </c>
      <c r="AI10" s="137">
        <f>SUM(N6:N72)</f>
        <v>0</v>
      </c>
      <c r="AJ10" s="138">
        <f>SUMIF($D$6:$D$72,"Operational",N$6:N$72)</f>
        <v>0</v>
      </c>
      <c r="AK10" s="138">
        <f>SUMIF($D$6:$D$72,"College Houses",N$6:N$72)</f>
        <v>0</v>
      </c>
      <c r="AL10" s="138">
        <f>SUMIF($D$6:$D$72,"Residence Hall",N$6:N$72)</f>
        <v>0</v>
      </c>
      <c r="AM10" s="138">
        <f>SUMIF($D$6:$D$72,"Athletics",N$6:N$72)</f>
        <v>0</v>
      </c>
      <c r="AN10" s="138">
        <f>SUMIF($D$6:$D$72,"Academic",N$6:N$72)</f>
        <v>0</v>
      </c>
    </row>
    <row r="11" spans="1:40" x14ac:dyDescent="0.3">
      <c r="A11" s="180"/>
      <c r="B11" s="3"/>
      <c r="D11" s="3"/>
      <c r="F11" s="10"/>
      <c r="G11" s="16"/>
      <c r="H11" s="10"/>
      <c r="I11" s="16"/>
      <c r="J11" s="10"/>
      <c r="K11" s="16"/>
      <c r="L11" s="10"/>
      <c r="M11" s="16"/>
      <c r="N11" s="10"/>
      <c r="O11" s="52"/>
      <c r="P11" s="10"/>
      <c r="Q11" s="16"/>
      <c r="R11" s="58"/>
      <c r="S11" s="16"/>
      <c r="T11" s="81"/>
      <c r="U11" s="81"/>
      <c r="V11" s="58"/>
      <c r="W11" s="16"/>
      <c r="X11" s="10"/>
      <c r="Y11" s="16"/>
      <c r="Z11" s="58"/>
      <c r="AA11" s="16"/>
      <c r="AB11" s="10"/>
      <c r="AC11" s="19"/>
      <c r="AE11" s="180"/>
      <c r="AG11" s="135" t="s">
        <v>403</v>
      </c>
      <c r="AH11" s="136">
        <f>SUM(Q6:Q72)</f>
        <v>0</v>
      </c>
      <c r="AI11" s="137">
        <f>SUM(P6:P72)</f>
        <v>0</v>
      </c>
      <c r="AJ11" s="138">
        <f>SUMIF($D$6:$D$72,"Operational",P$6:P$72)</f>
        <v>0</v>
      </c>
      <c r="AK11" s="138">
        <f>SUMIF($D$6:$D$72,"College Houses",P$6:P$72)</f>
        <v>0</v>
      </c>
      <c r="AL11" s="138">
        <f>SUMIF($D$6:$D$72,"Residence Hall",P$6:P$72)</f>
        <v>0</v>
      </c>
      <c r="AM11" s="138">
        <f>SUMIF($D$6:$D$72,"Athletics",P$6:P$72)</f>
        <v>0</v>
      </c>
      <c r="AN11" s="138">
        <f>SUMIF($D$6:$D$72,"Academic",P$6:P$72)</f>
        <v>0</v>
      </c>
    </row>
    <row r="12" spans="1:40" x14ac:dyDescent="0.3">
      <c r="A12" s="180"/>
      <c r="B12" s="3"/>
      <c r="D12" s="3"/>
      <c r="F12" s="11"/>
      <c r="G12" s="16"/>
      <c r="H12" s="10"/>
      <c r="I12" s="16"/>
      <c r="J12" s="11"/>
      <c r="K12" s="16"/>
      <c r="L12" s="10"/>
      <c r="M12" s="16"/>
      <c r="N12" s="11"/>
      <c r="O12" s="52"/>
      <c r="P12" s="10"/>
      <c r="Q12" s="16"/>
      <c r="R12" s="58"/>
      <c r="S12" s="16"/>
      <c r="T12" s="81"/>
      <c r="U12" s="81"/>
      <c r="V12" s="58"/>
      <c r="W12" s="16"/>
      <c r="X12" s="10"/>
      <c r="Y12" s="16"/>
      <c r="Z12" s="58"/>
      <c r="AA12" s="16"/>
      <c r="AB12" s="10"/>
      <c r="AC12" s="19"/>
      <c r="AE12" s="180"/>
      <c r="AG12" s="135" t="s">
        <v>404</v>
      </c>
      <c r="AH12" s="136">
        <f>SUM(S6:S72)</f>
        <v>0</v>
      </c>
      <c r="AI12" s="140">
        <f>SUM(R6:R72)</f>
        <v>0</v>
      </c>
      <c r="AJ12" s="138">
        <f>SUMIF(D6:D72,"Operational",R6:R72)</f>
        <v>0</v>
      </c>
      <c r="AK12" s="138">
        <f>SUMIF($D$6:$D$72,"College Houses",R$6:R$72)</f>
        <v>0</v>
      </c>
      <c r="AL12" s="138">
        <f>SUMIF($D$6:$D$72,"Residence Hall",R$6:R$72)</f>
        <v>0</v>
      </c>
      <c r="AM12" s="138">
        <f>SUMIF($D$6:$D$72,"Athletics",R$6:R$72)</f>
        <v>0</v>
      </c>
      <c r="AN12" s="138">
        <f>SUMIF($D$6:$D$72,"Academic",R$6:R$72)</f>
        <v>0</v>
      </c>
    </row>
    <row r="13" spans="1:40" x14ac:dyDescent="0.3">
      <c r="A13" s="180"/>
      <c r="B13" s="7" t="s">
        <v>335</v>
      </c>
      <c r="C13" s="7" t="s">
        <v>405</v>
      </c>
      <c r="D13" s="7" t="s">
        <v>40</v>
      </c>
      <c r="E13" s="23" t="s">
        <v>406</v>
      </c>
      <c r="F13" s="129"/>
      <c r="G13" s="111"/>
      <c r="H13" s="133"/>
      <c r="I13" s="114"/>
      <c r="J13" s="129"/>
      <c r="K13" s="111"/>
      <c r="L13" s="133"/>
      <c r="M13" s="114"/>
      <c r="N13" s="129"/>
      <c r="O13" s="111"/>
      <c r="P13" s="133"/>
      <c r="Q13" s="114"/>
      <c r="R13" s="94"/>
      <c r="S13" s="95"/>
      <c r="T13" s="115"/>
      <c r="U13" s="114"/>
      <c r="V13" s="94"/>
      <c r="W13" s="111"/>
      <c r="X13" s="42"/>
      <c r="Y13" s="45"/>
      <c r="Z13" s="57"/>
      <c r="AA13" s="51"/>
      <c r="AB13" s="42"/>
      <c r="AC13" s="46"/>
      <c r="AE13" s="180"/>
      <c r="AG13" s="135" t="s">
        <v>407</v>
      </c>
      <c r="AH13" s="136">
        <f>SUM(U6:U72)</f>
        <v>0</v>
      </c>
      <c r="AI13" s="141">
        <f>SUM(T6:T72)</f>
        <v>0</v>
      </c>
      <c r="AJ13" s="138">
        <f>SUMIF($D$6:$D$72,"Operational",T$6:T$72)</f>
        <v>0</v>
      </c>
      <c r="AK13" s="138">
        <f>SUMIF($D$6:$D$72,"College Houses",T$6:T$72)</f>
        <v>0</v>
      </c>
      <c r="AL13" s="138">
        <f>SUMIF($D$6:$D$72,"Residence Hall",T$6:T$72)</f>
        <v>0</v>
      </c>
      <c r="AM13" s="138">
        <f>SUMIF($D$6:$D$72,"Athletics",T$6:T$72)</f>
        <v>0</v>
      </c>
      <c r="AN13" s="138">
        <f>SUMIF($D$6:$D$72,"Academic",T$6:T$72)</f>
        <v>0</v>
      </c>
    </row>
    <row r="14" spans="1:40" x14ac:dyDescent="0.3">
      <c r="A14" s="180"/>
      <c r="B14" s="3" t="s">
        <v>201</v>
      </c>
      <c r="C14" s="3" t="s">
        <v>202</v>
      </c>
      <c r="D14" s="3" t="s">
        <v>40</v>
      </c>
      <c r="E14" s="3" t="s">
        <v>408</v>
      </c>
      <c r="F14" s="130"/>
      <c r="G14" s="113"/>
      <c r="H14" s="82"/>
      <c r="I14" s="81"/>
      <c r="J14" s="130"/>
      <c r="K14" s="113"/>
      <c r="L14" s="82"/>
      <c r="M14" s="81"/>
      <c r="N14" s="130"/>
      <c r="O14" s="113"/>
      <c r="P14" s="82"/>
      <c r="Q14" s="81"/>
      <c r="R14" s="93"/>
      <c r="S14" s="96"/>
      <c r="T14" s="91"/>
      <c r="U14" s="81"/>
      <c r="V14" s="93"/>
      <c r="W14" s="113"/>
      <c r="X14" s="10"/>
      <c r="Y14" s="16"/>
      <c r="Z14" s="53"/>
      <c r="AA14" s="47"/>
      <c r="AB14" s="10"/>
      <c r="AC14" s="19"/>
      <c r="AE14" s="180"/>
      <c r="AG14" s="135" t="s">
        <v>409</v>
      </c>
      <c r="AH14" s="136">
        <f>SUM(W6:W72)</f>
        <v>0</v>
      </c>
      <c r="AI14" s="140">
        <f>SUM(V6:V72)</f>
        <v>0</v>
      </c>
      <c r="AJ14" s="138">
        <f>SUMIF($D$6:$D$72,"Operational",V$6:V$72)</f>
        <v>0</v>
      </c>
      <c r="AK14" s="138">
        <f>SUMIF($D$6:$D$72,"College Houses",V$6:V$72)</f>
        <v>0</v>
      </c>
      <c r="AL14" s="138">
        <f>SUMIF($D$6:$D$72,"Residence Hall",V$6:V$72)</f>
        <v>0</v>
      </c>
      <c r="AM14" s="138">
        <f>SUMIF($D$6:$D$72,"Athletics",V$6:V$72)</f>
        <v>0</v>
      </c>
      <c r="AN14" s="138">
        <f>SUMIF($D$6:$D$72,"Academic",V$6:V$72)</f>
        <v>0</v>
      </c>
    </row>
    <row r="15" spans="1:40" x14ac:dyDescent="0.3">
      <c r="A15" s="180"/>
      <c r="B15" s="3" t="s">
        <v>77</v>
      </c>
      <c r="C15" s="3" t="s">
        <v>78</v>
      </c>
      <c r="D15" s="3" t="s">
        <v>43</v>
      </c>
      <c r="E15" s="3" t="s">
        <v>410</v>
      </c>
      <c r="F15" s="130"/>
      <c r="G15" s="113"/>
      <c r="H15" s="82"/>
      <c r="I15" s="81"/>
      <c r="J15" s="130"/>
      <c r="K15" s="113"/>
      <c r="L15" s="82"/>
      <c r="M15" s="81"/>
      <c r="N15" s="130"/>
      <c r="O15" s="113"/>
      <c r="P15" s="82"/>
      <c r="Q15" s="81"/>
      <c r="R15" s="93"/>
      <c r="S15" s="96"/>
      <c r="T15" s="91"/>
      <c r="U15" s="81"/>
      <c r="V15" s="93"/>
      <c r="W15" s="113"/>
      <c r="X15" s="10"/>
      <c r="Y15" s="16"/>
      <c r="Z15" s="53"/>
      <c r="AA15" s="47"/>
      <c r="AB15" s="10"/>
      <c r="AC15" s="19"/>
      <c r="AE15" s="180"/>
      <c r="AG15" s="135" t="s">
        <v>411</v>
      </c>
      <c r="AH15" s="136">
        <f>SUM(Y6:Y72)</f>
        <v>0</v>
      </c>
      <c r="AI15" s="140">
        <f>SUM(X6:X72)</f>
        <v>0</v>
      </c>
      <c r="AJ15" s="138">
        <f>SUMIF($D$6:$D$72,"Operational",X$6:X$72)</f>
        <v>0</v>
      </c>
      <c r="AK15" s="138">
        <f>SUMIF($D$6:$D$72,"College Houses",X$6:X$72)</f>
        <v>0</v>
      </c>
      <c r="AL15" s="138">
        <f>SUMIF($D$6:$D$72,"Residence Hall",X$6:X$72)</f>
        <v>0</v>
      </c>
      <c r="AM15" s="138">
        <f>SUMIF($D$6:$D$72,"Athletics",X$6:X$72)</f>
        <v>0</v>
      </c>
      <c r="AN15" s="138">
        <f>SUMIF($D$6:$D$72,"Academic",X$6:X$72)</f>
        <v>0</v>
      </c>
    </row>
    <row r="16" spans="1:40" x14ac:dyDescent="0.3">
      <c r="A16" s="180"/>
      <c r="B16" s="3" t="s">
        <v>79</v>
      </c>
      <c r="C16" s="3" t="s">
        <v>80</v>
      </c>
      <c r="D16" s="3" t="s">
        <v>43</v>
      </c>
      <c r="E16" s="3" t="s">
        <v>412</v>
      </c>
      <c r="F16" s="130"/>
      <c r="G16" s="113"/>
      <c r="H16" s="82"/>
      <c r="I16" s="81"/>
      <c r="J16" s="130"/>
      <c r="K16" s="113"/>
      <c r="L16" s="82"/>
      <c r="M16" s="81"/>
      <c r="N16" s="130"/>
      <c r="O16" s="113"/>
      <c r="P16" s="82"/>
      <c r="Q16" s="81"/>
      <c r="R16" s="93"/>
      <c r="S16" s="96"/>
      <c r="T16" s="91"/>
      <c r="U16" s="81"/>
      <c r="V16" s="93"/>
      <c r="W16" s="113"/>
      <c r="X16" s="10"/>
      <c r="Y16" s="16"/>
      <c r="Z16" s="53"/>
      <c r="AA16" s="47"/>
      <c r="AB16" s="10"/>
      <c r="AC16" s="19"/>
      <c r="AE16" s="180"/>
      <c r="AG16" s="135" t="s">
        <v>66</v>
      </c>
      <c r="AH16" s="136">
        <f>SUM(AA6:AA72)</f>
        <v>0</v>
      </c>
      <c r="AI16" s="140">
        <f>SUM(Z6:Z72)</f>
        <v>0</v>
      </c>
      <c r="AJ16" s="138">
        <f>SUMIF($D$6:$D$72,"Operational",Z$6:Z$72)</f>
        <v>0</v>
      </c>
      <c r="AK16" s="138">
        <f>SUMIF($D$6:$D$72,"College Houses",Z$6:Z$72)</f>
        <v>0</v>
      </c>
      <c r="AL16" s="138">
        <f>SUMIF($D$6:$D$72,"Residence Hall",Z$6:Z$72)</f>
        <v>0</v>
      </c>
      <c r="AM16" s="138">
        <f>SUMIF($D$6:$D$72,"Athletics",Z$6:Z$72)</f>
        <v>0</v>
      </c>
      <c r="AN16" s="138">
        <f>SUMIF($D$6:$D$72,"Academic",Z$6:Z$72)</f>
        <v>0</v>
      </c>
    </row>
    <row r="17" spans="1:40" x14ac:dyDescent="0.3">
      <c r="A17" s="180"/>
      <c r="B17" s="3" t="s">
        <v>82</v>
      </c>
      <c r="C17" s="3" t="s">
        <v>83</v>
      </c>
      <c r="D17" s="3" t="s">
        <v>43</v>
      </c>
      <c r="E17" s="3" t="s">
        <v>413</v>
      </c>
      <c r="F17" s="130"/>
      <c r="G17" s="113"/>
      <c r="H17" s="82"/>
      <c r="I17" s="81"/>
      <c r="J17" s="130"/>
      <c r="K17" s="113"/>
      <c r="L17" s="82"/>
      <c r="M17" s="81"/>
      <c r="N17" s="130"/>
      <c r="O17" s="113"/>
      <c r="P17" s="82"/>
      <c r="Q17" s="81"/>
      <c r="R17" s="93"/>
      <c r="S17" s="96"/>
      <c r="T17" s="91"/>
      <c r="U17" s="81"/>
      <c r="V17" s="93"/>
      <c r="W17" s="113"/>
      <c r="X17" s="10"/>
      <c r="Y17" s="16"/>
      <c r="Z17" s="53"/>
      <c r="AA17" s="47"/>
      <c r="AB17" s="10"/>
      <c r="AC17" s="19"/>
      <c r="AE17" s="180"/>
      <c r="AG17" s="135" t="s">
        <v>414</v>
      </c>
      <c r="AH17" s="136">
        <f>SUM(AC6:AC72)</f>
        <v>0</v>
      </c>
      <c r="AI17" s="140">
        <f>SUM(AB6:AB72)</f>
        <v>0</v>
      </c>
      <c r="AJ17" s="138">
        <f>SUMIF($D$6:$D$72,"Operational",AB$6:AB$72)</f>
        <v>0</v>
      </c>
      <c r="AK17" s="138">
        <f>SUMIF($D$6:$D$72,"College Houses",AB$6:AB$72)</f>
        <v>0</v>
      </c>
      <c r="AL17" s="138">
        <f>SUMIF($D$6:$D$72,"Residence Hall",AB$6:AB$72)</f>
        <v>0</v>
      </c>
      <c r="AM17" s="138">
        <f>SUMIF($D$6:$D$72,"Athletics",AB$6:AB$72)</f>
        <v>0</v>
      </c>
      <c r="AN17" s="138">
        <f>SUMIF($D$6:$D$72,"Academic",AB$6:AB$72)</f>
        <v>0</v>
      </c>
    </row>
    <row r="18" spans="1:40" x14ac:dyDescent="0.3">
      <c r="A18" s="180"/>
      <c r="B18" s="3" t="s">
        <v>85</v>
      </c>
      <c r="C18" s="3" t="s">
        <v>86</v>
      </c>
      <c r="D18" s="3" t="s">
        <v>43</v>
      </c>
      <c r="E18" s="3" t="s">
        <v>415</v>
      </c>
      <c r="F18" s="130"/>
      <c r="G18" s="113"/>
      <c r="H18" s="82"/>
      <c r="I18" s="81"/>
      <c r="J18" s="130"/>
      <c r="K18" s="113"/>
      <c r="L18" s="82"/>
      <c r="M18" s="81"/>
      <c r="N18" s="130"/>
      <c r="O18" s="113"/>
      <c r="P18" s="82"/>
      <c r="Q18" s="81"/>
      <c r="R18" s="93"/>
      <c r="S18" s="96"/>
      <c r="T18" s="91"/>
      <c r="U18" s="81"/>
      <c r="V18" s="93"/>
      <c r="W18" s="113"/>
      <c r="X18" s="10"/>
      <c r="Y18" s="16"/>
      <c r="Z18" s="53"/>
      <c r="AA18" s="47"/>
      <c r="AB18" s="10"/>
      <c r="AC18" s="19"/>
      <c r="AE18" s="180"/>
      <c r="AG18" t="s">
        <v>416</v>
      </c>
      <c r="AH18" s="80">
        <f>SUM(AH6:AH17)</f>
        <v>0</v>
      </c>
      <c r="AI18" s="142">
        <f t="shared" ref="AI18:AN18" si="0">SUM(AI6:AI17)</f>
        <v>0</v>
      </c>
      <c r="AJ18" s="142">
        <f t="shared" si="0"/>
        <v>0</v>
      </c>
      <c r="AK18" s="142">
        <f t="shared" si="0"/>
        <v>0</v>
      </c>
      <c r="AL18" s="142">
        <f t="shared" si="0"/>
        <v>0</v>
      </c>
      <c r="AM18" s="142">
        <f t="shared" si="0"/>
        <v>0</v>
      </c>
      <c r="AN18" s="142">
        <f t="shared" si="0"/>
        <v>0</v>
      </c>
    </row>
    <row r="19" spans="1:40" x14ac:dyDescent="0.3">
      <c r="A19" s="180"/>
      <c r="B19" s="3" t="s">
        <v>87</v>
      </c>
      <c r="C19" s="3" t="s">
        <v>88</v>
      </c>
      <c r="D19" s="3" t="s">
        <v>43</v>
      </c>
      <c r="E19" s="3" t="s">
        <v>417</v>
      </c>
      <c r="F19" s="130"/>
      <c r="G19" s="113"/>
      <c r="H19" s="82"/>
      <c r="I19" s="81"/>
      <c r="J19" s="130"/>
      <c r="K19" s="113"/>
      <c r="L19" s="82"/>
      <c r="M19" s="81"/>
      <c r="N19" s="130"/>
      <c r="O19" s="113"/>
      <c r="P19" s="82"/>
      <c r="Q19" s="81"/>
      <c r="R19" s="93"/>
      <c r="S19" s="96"/>
      <c r="T19" s="91"/>
      <c r="U19" s="81"/>
      <c r="V19" s="93"/>
      <c r="W19" s="113"/>
      <c r="X19" s="10"/>
      <c r="Y19" s="16"/>
      <c r="Z19" s="53"/>
      <c r="AA19" s="47"/>
      <c r="AB19" s="10"/>
      <c r="AC19" s="19"/>
      <c r="AE19" s="180"/>
    </row>
    <row r="20" spans="1:40" x14ac:dyDescent="0.3">
      <c r="A20" s="180"/>
      <c r="B20" s="3" t="s">
        <v>89</v>
      </c>
      <c r="C20" s="3" t="s">
        <v>90</v>
      </c>
      <c r="D20" s="3" t="s">
        <v>43</v>
      </c>
      <c r="E20" s="3" t="s">
        <v>418</v>
      </c>
      <c r="F20" s="130"/>
      <c r="G20" s="113"/>
      <c r="H20" s="82"/>
      <c r="I20" s="81"/>
      <c r="J20" s="130"/>
      <c r="K20" s="113"/>
      <c r="L20" s="82"/>
      <c r="M20" s="81"/>
      <c r="N20" s="130"/>
      <c r="O20" s="113"/>
      <c r="P20" s="82"/>
      <c r="Q20" s="81"/>
      <c r="R20" s="93"/>
      <c r="S20" s="96"/>
      <c r="T20" s="91"/>
      <c r="U20" s="81"/>
      <c r="V20" s="93"/>
      <c r="W20" s="113"/>
      <c r="X20" s="10"/>
      <c r="Y20" s="16"/>
      <c r="Z20" s="53"/>
      <c r="AA20" s="47"/>
      <c r="AB20" s="10"/>
      <c r="AC20" s="19"/>
      <c r="AE20" s="180"/>
    </row>
    <row r="21" spans="1:40" x14ac:dyDescent="0.3">
      <c r="A21" s="180"/>
      <c r="B21" s="3" t="s">
        <v>91</v>
      </c>
      <c r="C21" s="3" t="s">
        <v>92</v>
      </c>
      <c r="D21" s="3" t="s">
        <v>43</v>
      </c>
      <c r="E21" s="3" t="s">
        <v>419</v>
      </c>
      <c r="F21" s="130"/>
      <c r="G21" s="113"/>
      <c r="H21" s="82"/>
      <c r="I21" s="81"/>
      <c r="J21" s="130"/>
      <c r="K21" s="113"/>
      <c r="L21" s="82"/>
      <c r="M21" s="81"/>
      <c r="N21" s="130"/>
      <c r="O21" s="113"/>
      <c r="P21" s="82"/>
      <c r="Q21" s="81"/>
      <c r="R21" s="93"/>
      <c r="S21" s="96"/>
      <c r="T21" s="91"/>
      <c r="U21" s="81"/>
      <c r="V21" s="93"/>
      <c r="W21" s="113"/>
      <c r="X21" s="10"/>
      <c r="Y21" s="16"/>
      <c r="Z21" s="53"/>
      <c r="AA21" s="47"/>
      <c r="AB21" s="10"/>
      <c r="AC21" s="19"/>
      <c r="AE21" s="180"/>
    </row>
    <row r="22" spans="1:40" x14ac:dyDescent="0.3">
      <c r="A22" s="180"/>
      <c r="B22" s="3" t="s">
        <v>93</v>
      </c>
      <c r="C22" s="3" t="s">
        <v>139</v>
      </c>
      <c r="D22" s="3" t="s">
        <v>43</v>
      </c>
      <c r="E22" s="3" t="s">
        <v>420</v>
      </c>
      <c r="F22" s="130"/>
      <c r="G22" s="113"/>
      <c r="H22" s="82"/>
      <c r="I22" s="81"/>
      <c r="J22" s="130"/>
      <c r="K22" s="113"/>
      <c r="L22" s="82"/>
      <c r="M22" s="81"/>
      <c r="N22" s="130"/>
      <c r="O22" s="113"/>
      <c r="P22" s="82"/>
      <c r="Q22" s="81"/>
      <c r="R22" s="93"/>
      <c r="S22" s="96"/>
      <c r="T22" s="91"/>
      <c r="U22" s="81"/>
      <c r="V22" s="93"/>
      <c r="W22" s="113"/>
      <c r="X22" s="10"/>
      <c r="Y22" s="16"/>
      <c r="Z22" s="53"/>
      <c r="AA22" s="47"/>
      <c r="AB22" s="10"/>
      <c r="AC22" s="19"/>
      <c r="AE22" s="180"/>
    </row>
    <row r="23" spans="1:40" x14ac:dyDescent="0.3">
      <c r="A23" s="180"/>
      <c r="B23" s="3" t="s">
        <v>94</v>
      </c>
      <c r="C23" s="3" t="s">
        <v>95</v>
      </c>
      <c r="D23" s="3" t="s">
        <v>43</v>
      </c>
      <c r="E23" s="16" t="s">
        <v>421</v>
      </c>
      <c r="F23" s="130"/>
      <c r="G23" s="113"/>
      <c r="H23" s="82"/>
      <c r="I23" s="81"/>
      <c r="J23" s="130"/>
      <c r="K23" s="113"/>
      <c r="L23" s="82"/>
      <c r="M23" s="81"/>
      <c r="N23" s="130"/>
      <c r="O23" s="113"/>
      <c r="P23" s="82"/>
      <c r="Q23" s="81"/>
      <c r="R23" s="53"/>
      <c r="S23" s="47"/>
      <c r="T23" s="91"/>
      <c r="U23" s="81"/>
      <c r="V23" s="93"/>
      <c r="W23" s="113"/>
      <c r="X23" s="10"/>
      <c r="Y23" s="16"/>
      <c r="Z23" s="53"/>
      <c r="AA23" s="47"/>
      <c r="AB23" s="10"/>
      <c r="AC23" s="19"/>
      <c r="AE23" s="180"/>
    </row>
    <row r="24" spans="1:40" x14ac:dyDescent="0.3">
      <c r="A24" s="180"/>
      <c r="B24" s="3" t="s">
        <v>422</v>
      </c>
      <c r="C24" s="3" t="s">
        <v>95</v>
      </c>
      <c r="D24" s="3" t="s">
        <v>43</v>
      </c>
      <c r="E24" s="32" t="s">
        <v>423</v>
      </c>
      <c r="F24" s="130"/>
      <c r="G24" s="113"/>
      <c r="H24" s="82"/>
      <c r="I24" s="81"/>
      <c r="J24" s="130"/>
      <c r="K24" s="113"/>
      <c r="L24" s="82"/>
      <c r="M24" s="81"/>
      <c r="N24" s="130"/>
      <c r="O24" s="113"/>
      <c r="P24" s="82"/>
      <c r="Q24" s="81"/>
      <c r="R24" s="53"/>
      <c r="S24" s="47"/>
      <c r="T24" s="91"/>
      <c r="U24" s="81"/>
      <c r="V24" s="93"/>
      <c r="W24" s="113"/>
      <c r="X24" s="10"/>
      <c r="Y24" s="16"/>
      <c r="Z24" s="53"/>
      <c r="AA24" s="47"/>
      <c r="AB24" s="10"/>
      <c r="AC24" s="19"/>
      <c r="AE24" s="180"/>
    </row>
    <row r="25" spans="1:40" x14ac:dyDescent="0.3">
      <c r="A25" s="180"/>
      <c r="B25" s="3" t="s">
        <v>96</v>
      </c>
      <c r="C25" s="3" t="s">
        <v>97</v>
      </c>
      <c r="D25" s="3" t="s">
        <v>43</v>
      </c>
      <c r="E25" s="3" t="s">
        <v>424</v>
      </c>
      <c r="F25" s="130"/>
      <c r="G25" s="113"/>
      <c r="H25" s="82"/>
      <c r="I25" s="81"/>
      <c r="J25" s="130"/>
      <c r="K25" s="113"/>
      <c r="L25" s="82"/>
      <c r="M25" s="81"/>
      <c r="N25" s="130"/>
      <c r="O25" s="113"/>
      <c r="P25" s="82"/>
      <c r="Q25" s="81"/>
      <c r="R25" s="93"/>
      <c r="S25" s="96"/>
      <c r="T25" s="91"/>
      <c r="U25" s="81"/>
      <c r="V25" s="93"/>
      <c r="W25" s="113"/>
      <c r="X25" s="10"/>
      <c r="Y25" s="16"/>
      <c r="Z25" s="53"/>
      <c r="AA25" s="47"/>
      <c r="AB25" s="10"/>
      <c r="AC25" s="19"/>
      <c r="AE25" s="180"/>
    </row>
    <row r="26" spans="1:40" x14ac:dyDescent="0.3">
      <c r="A26" s="180"/>
      <c r="B26" s="3" t="s">
        <v>98</v>
      </c>
      <c r="C26" s="3" t="s">
        <v>99</v>
      </c>
      <c r="D26" s="3" t="s">
        <v>43</v>
      </c>
      <c r="E26" s="3" t="s">
        <v>425</v>
      </c>
      <c r="F26" s="130"/>
      <c r="G26" s="113"/>
      <c r="H26" s="82"/>
      <c r="I26" s="81"/>
      <c r="J26" s="130"/>
      <c r="K26" s="113"/>
      <c r="L26" s="82"/>
      <c r="M26" s="81"/>
      <c r="N26" s="130"/>
      <c r="O26" s="113"/>
      <c r="P26" s="82"/>
      <c r="Q26" s="81"/>
      <c r="R26" s="93"/>
      <c r="S26" s="96"/>
      <c r="T26" s="91"/>
      <c r="U26" s="81"/>
      <c r="V26" s="93"/>
      <c r="W26" s="113"/>
      <c r="X26" s="10"/>
      <c r="Y26" s="16"/>
      <c r="Z26" s="53"/>
      <c r="AA26" s="47"/>
      <c r="AB26" s="10"/>
      <c r="AC26" s="19"/>
      <c r="AE26" s="180"/>
    </row>
    <row r="27" spans="1:40" x14ac:dyDescent="0.3">
      <c r="A27" s="180"/>
      <c r="B27" s="3" t="s">
        <v>101</v>
      </c>
      <c r="C27" s="3" t="s">
        <v>102</v>
      </c>
      <c r="D27" s="3" t="s">
        <v>43</v>
      </c>
      <c r="E27" s="3" t="s">
        <v>426</v>
      </c>
      <c r="F27" s="130"/>
      <c r="G27" s="113"/>
      <c r="H27" s="82"/>
      <c r="I27" s="81"/>
      <c r="J27" s="130"/>
      <c r="K27" s="113"/>
      <c r="L27" s="82"/>
      <c r="M27" s="81"/>
      <c r="N27" s="130"/>
      <c r="O27" s="113"/>
      <c r="P27" s="82"/>
      <c r="Q27" s="81"/>
      <c r="R27" s="93"/>
      <c r="S27" s="96"/>
      <c r="T27" s="91"/>
      <c r="U27" s="81"/>
      <c r="V27" s="93"/>
      <c r="W27" s="113"/>
      <c r="X27" s="10"/>
      <c r="Y27" s="16"/>
      <c r="Z27" s="53"/>
      <c r="AA27" s="47"/>
      <c r="AB27" s="10"/>
      <c r="AC27" s="19"/>
      <c r="AE27" s="180"/>
    </row>
    <row r="28" spans="1:40" x14ac:dyDescent="0.3">
      <c r="A28" s="180"/>
      <c r="B28" s="3" t="s">
        <v>104</v>
      </c>
      <c r="C28" s="3" t="s">
        <v>105</v>
      </c>
      <c r="D28" s="3" t="s">
        <v>43</v>
      </c>
      <c r="E28" s="3" t="s">
        <v>427</v>
      </c>
      <c r="F28" s="130"/>
      <c r="G28" s="113"/>
      <c r="H28" s="82"/>
      <c r="I28" s="81"/>
      <c r="J28" s="130"/>
      <c r="K28" s="113"/>
      <c r="L28" s="82"/>
      <c r="M28" s="81"/>
      <c r="N28" s="130"/>
      <c r="O28" s="113"/>
      <c r="P28" s="82"/>
      <c r="Q28" s="81"/>
      <c r="R28" s="93"/>
      <c r="S28" s="96"/>
      <c r="T28" s="91"/>
      <c r="U28" s="81"/>
      <c r="V28" s="93"/>
      <c r="W28" s="113"/>
      <c r="X28" s="10"/>
      <c r="Y28" s="16"/>
      <c r="Z28" s="53"/>
      <c r="AA28" s="47"/>
      <c r="AB28" s="10"/>
      <c r="AC28" s="19"/>
      <c r="AE28" s="180"/>
    </row>
    <row r="29" spans="1:40" x14ac:dyDescent="0.3">
      <c r="A29" s="180"/>
      <c r="B29" s="3" t="s">
        <v>106</v>
      </c>
      <c r="C29" s="3" t="s">
        <v>107</v>
      </c>
      <c r="D29" s="3" t="s">
        <v>43</v>
      </c>
      <c r="E29" s="3" t="s">
        <v>428</v>
      </c>
      <c r="F29" s="130"/>
      <c r="G29" s="113"/>
      <c r="H29" s="82"/>
      <c r="I29" s="81"/>
      <c r="J29" s="130"/>
      <c r="K29" s="113"/>
      <c r="L29" s="82"/>
      <c r="M29" s="81"/>
      <c r="N29" s="130"/>
      <c r="O29" s="113"/>
      <c r="P29" s="82"/>
      <c r="Q29" s="81"/>
      <c r="R29" s="93"/>
      <c r="S29" s="96"/>
      <c r="T29" s="91"/>
      <c r="U29" s="81"/>
      <c r="V29" s="93"/>
      <c r="W29" s="113"/>
      <c r="X29" s="10"/>
      <c r="Y29" s="16"/>
      <c r="Z29" s="53"/>
      <c r="AA29" s="47"/>
      <c r="AB29" s="10"/>
      <c r="AC29" s="19"/>
      <c r="AE29" s="180"/>
    </row>
    <row r="30" spans="1:40" x14ac:dyDescent="0.3">
      <c r="A30" s="180"/>
      <c r="B30" s="3" t="s">
        <v>109</v>
      </c>
      <c r="C30" s="3" t="s">
        <v>110</v>
      </c>
      <c r="D30" s="3" t="s">
        <v>43</v>
      </c>
      <c r="E30" s="3" t="s">
        <v>429</v>
      </c>
      <c r="F30" s="130"/>
      <c r="G30" s="113"/>
      <c r="H30" s="82"/>
      <c r="I30" s="81"/>
      <c r="J30" s="130"/>
      <c r="K30" s="113"/>
      <c r="L30" s="82"/>
      <c r="M30" s="81"/>
      <c r="N30" s="130"/>
      <c r="O30" s="113"/>
      <c r="P30" s="82"/>
      <c r="Q30" s="81"/>
      <c r="R30" s="93"/>
      <c r="S30" s="96"/>
      <c r="T30" s="91"/>
      <c r="U30" s="81"/>
      <c r="V30" s="93"/>
      <c r="W30" s="113"/>
      <c r="X30" s="10"/>
      <c r="Y30" s="16"/>
      <c r="Z30" s="53"/>
      <c r="AA30" s="47"/>
      <c r="AB30" s="10"/>
      <c r="AC30" s="19"/>
      <c r="AE30" s="180"/>
    </row>
    <row r="31" spans="1:40" x14ac:dyDescent="0.3">
      <c r="A31" s="180"/>
      <c r="B31" s="3" t="s">
        <v>111</v>
      </c>
      <c r="C31" s="3" t="s">
        <v>112</v>
      </c>
      <c r="D31" s="3" t="s">
        <v>40</v>
      </c>
      <c r="E31" s="3" t="s">
        <v>430</v>
      </c>
      <c r="F31" s="130"/>
      <c r="G31" s="113"/>
      <c r="H31" s="82"/>
      <c r="I31" s="81"/>
      <c r="J31" s="130"/>
      <c r="K31" s="113"/>
      <c r="L31" s="82"/>
      <c r="M31" s="81"/>
      <c r="N31" s="130"/>
      <c r="O31" s="113"/>
      <c r="P31" s="82"/>
      <c r="Q31" s="81"/>
      <c r="R31" s="93"/>
      <c r="S31" s="96"/>
      <c r="T31" s="91"/>
      <c r="U31" s="81"/>
      <c r="V31" s="93"/>
      <c r="W31" s="113"/>
      <c r="X31" s="10"/>
      <c r="Y31" s="16"/>
      <c r="Z31" s="53"/>
      <c r="AA31" s="47"/>
      <c r="AB31" s="10"/>
      <c r="AC31" s="19"/>
      <c r="AE31" s="180"/>
    </row>
    <row r="32" spans="1:40" x14ac:dyDescent="0.3">
      <c r="A32" s="180"/>
      <c r="B32" s="3" t="s">
        <v>113</v>
      </c>
      <c r="C32" s="3" t="s">
        <v>114</v>
      </c>
      <c r="D32" s="3" t="s">
        <v>43</v>
      </c>
      <c r="E32" s="3" t="s">
        <v>431</v>
      </c>
      <c r="F32" s="130"/>
      <c r="G32" s="113"/>
      <c r="H32" s="82"/>
      <c r="I32" s="81"/>
      <c r="J32" s="130"/>
      <c r="K32" s="113"/>
      <c r="L32" s="82"/>
      <c r="M32" s="81"/>
      <c r="N32" s="130"/>
      <c r="O32" s="113"/>
      <c r="P32" s="82"/>
      <c r="Q32" s="81"/>
      <c r="R32" s="93"/>
      <c r="S32" s="96"/>
      <c r="T32" s="91"/>
      <c r="U32" s="81"/>
      <c r="V32" s="93"/>
      <c r="W32" s="113"/>
      <c r="X32" s="10"/>
      <c r="Y32" s="16"/>
      <c r="Z32" s="53"/>
      <c r="AA32" s="47"/>
      <c r="AB32" s="10"/>
      <c r="AC32" s="19"/>
      <c r="AE32" s="180"/>
    </row>
    <row r="33" spans="1:31" x14ac:dyDescent="0.3">
      <c r="A33" s="180"/>
      <c r="B33" s="3" t="s">
        <v>116</v>
      </c>
      <c r="C33" s="3" t="s">
        <v>117</v>
      </c>
      <c r="D33" s="3" t="s">
        <v>43</v>
      </c>
      <c r="E33" s="3" t="s">
        <v>432</v>
      </c>
      <c r="F33" s="130"/>
      <c r="G33" s="113"/>
      <c r="H33" s="82"/>
      <c r="I33" s="81"/>
      <c r="J33" s="130"/>
      <c r="K33" s="113"/>
      <c r="L33" s="82"/>
      <c r="M33" s="81"/>
      <c r="N33" s="130"/>
      <c r="O33" s="113"/>
      <c r="P33" s="82"/>
      <c r="Q33" s="81"/>
      <c r="R33" s="93"/>
      <c r="S33" s="96"/>
      <c r="T33" s="91"/>
      <c r="U33" s="81"/>
      <c r="V33" s="93"/>
      <c r="W33" s="113"/>
      <c r="X33" s="10"/>
      <c r="Y33" s="16"/>
      <c r="Z33" s="53"/>
      <c r="AA33" s="47"/>
      <c r="AB33" s="10"/>
      <c r="AC33" s="19"/>
      <c r="AE33" s="180"/>
    </row>
    <row r="34" spans="1:31" x14ac:dyDescent="0.3">
      <c r="A34" s="180"/>
      <c r="B34" s="3" t="s">
        <v>118</v>
      </c>
      <c r="C34" s="3" t="s">
        <v>119</v>
      </c>
      <c r="D34" s="3" t="s">
        <v>43</v>
      </c>
      <c r="E34" s="3" t="s">
        <v>433</v>
      </c>
      <c r="F34" s="130"/>
      <c r="G34" s="113"/>
      <c r="H34" s="82"/>
      <c r="I34" s="81"/>
      <c r="J34" s="130"/>
      <c r="K34" s="113"/>
      <c r="L34" s="82"/>
      <c r="M34" s="81"/>
      <c r="N34" s="130"/>
      <c r="O34" s="113"/>
      <c r="P34" s="82"/>
      <c r="Q34" s="81"/>
      <c r="R34" s="93"/>
      <c r="S34" s="96"/>
      <c r="T34" s="91"/>
      <c r="U34" s="81"/>
      <c r="V34" s="93"/>
      <c r="W34" s="113"/>
      <c r="X34" s="10"/>
      <c r="Y34" s="16"/>
      <c r="Z34" s="53"/>
      <c r="AA34" s="47"/>
      <c r="AB34" s="10"/>
      <c r="AC34" s="19"/>
      <c r="AE34" s="180"/>
    </row>
    <row r="35" spans="1:31" x14ac:dyDescent="0.3">
      <c r="A35" s="180"/>
      <c r="B35" s="3" t="s">
        <v>184</v>
      </c>
      <c r="C35" s="3" t="s">
        <v>185</v>
      </c>
      <c r="D35" s="3" t="s">
        <v>40</v>
      </c>
      <c r="E35" s="3" t="s">
        <v>434</v>
      </c>
      <c r="F35" s="130"/>
      <c r="G35" s="113"/>
      <c r="H35" s="82"/>
      <c r="I35" s="81"/>
      <c r="J35" s="130"/>
      <c r="K35" s="113"/>
      <c r="L35" s="82"/>
      <c r="M35" s="81"/>
      <c r="N35" s="130"/>
      <c r="O35" s="113"/>
      <c r="P35" s="82"/>
      <c r="Q35" s="81"/>
      <c r="R35" s="93"/>
      <c r="S35" s="96"/>
      <c r="T35" s="91"/>
      <c r="U35" s="81"/>
      <c r="V35" s="93"/>
      <c r="W35" s="113"/>
      <c r="X35" s="10"/>
      <c r="Y35" s="16"/>
      <c r="Z35" s="53"/>
      <c r="AA35" s="47"/>
      <c r="AB35" s="10"/>
      <c r="AC35" s="19"/>
      <c r="AE35" s="180"/>
    </row>
    <row r="36" spans="1:31" x14ac:dyDescent="0.3">
      <c r="A36" s="220"/>
      <c r="B36" s="3" t="s">
        <v>373</v>
      </c>
      <c r="C36" s="3" t="s">
        <v>374</v>
      </c>
      <c r="D36" s="3" t="s">
        <v>43</v>
      </c>
      <c r="E36" s="3" t="s">
        <v>434</v>
      </c>
      <c r="F36" s="130"/>
      <c r="G36" s="113"/>
      <c r="H36" s="82"/>
      <c r="I36" s="81"/>
      <c r="J36" s="130"/>
      <c r="K36" s="113"/>
      <c r="L36" s="82"/>
      <c r="M36" s="81"/>
      <c r="N36" s="130"/>
      <c r="O36" s="113"/>
      <c r="P36" s="82"/>
      <c r="Q36" s="81"/>
      <c r="R36" s="97"/>
      <c r="S36" s="98"/>
      <c r="T36" s="91"/>
      <c r="U36" s="81"/>
      <c r="V36" s="93"/>
      <c r="W36" s="113"/>
      <c r="X36" s="10"/>
      <c r="Y36" s="16"/>
      <c r="Z36" s="53"/>
      <c r="AA36" s="47"/>
      <c r="AB36" s="10"/>
      <c r="AC36" s="19"/>
      <c r="AE36" s="220"/>
    </row>
    <row r="37" spans="1:31" x14ac:dyDescent="0.3">
      <c r="A37" s="180"/>
      <c r="B37" s="3" t="s">
        <v>174</v>
      </c>
      <c r="C37" s="3" t="s">
        <v>435</v>
      </c>
      <c r="D37" s="3" t="s">
        <v>43</v>
      </c>
      <c r="E37" s="3" t="s">
        <v>436</v>
      </c>
      <c r="F37" s="130"/>
      <c r="G37" s="113"/>
      <c r="H37" s="82"/>
      <c r="I37" s="81"/>
      <c r="J37" s="130"/>
      <c r="K37" s="113"/>
      <c r="L37" s="82"/>
      <c r="M37" s="81"/>
      <c r="N37" s="130"/>
      <c r="O37" s="113"/>
      <c r="P37" s="82"/>
      <c r="Q37" s="81"/>
      <c r="R37" s="93"/>
      <c r="S37" s="96"/>
      <c r="T37" s="91"/>
      <c r="U37" s="81"/>
      <c r="V37" s="93"/>
      <c r="W37" s="113"/>
      <c r="X37" s="10"/>
      <c r="Y37" s="16"/>
      <c r="Z37" s="53"/>
      <c r="AA37" s="47"/>
      <c r="AB37" s="10"/>
      <c r="AC37" s="19"/>
      <c r="AE37" s="180"/>
    </row>
    <row r="38" spans="1:31" x14ac:dyDescent="0.3">
      <c r="A38" s="180"/>
      <c r="B38" s="3" t="s">
        <v>375</v>
      </c>
      <c r="C38" s="3" t="s">
        <v>183</v>
      </c>
      <c r="D38" s="3" t="s">
        <v>40</v>
      </c>
      <c r="E38" s="3" t="s">
        <v>437</v>
      </c>
      <c r="F38" s="130"/>
      <c r="G38" s="113"/>
      <c r="H38" s="82"/>
      <c r="I38" s="81"/>
      <c r="J38" s="130"/>
      <c r="K38" s="113"/>
      <c r="L38" s="82"/>
      <c r="M38" s="81"/>
      <c r="N38" s="130"/>
      <c r="O38" s="113"/>
      <c r="P38" s="82"/>
      <c r="Q38" s="81"/>
      <c r="R38" s="93"/>
      <c r="S38" s="96"/>
      <c r="T38" s="91"/>
      <c r="U38" s="81"/>
      <c r="V38" s="93"/>
      <c r="W38" s="113"/>
      <c r="X38" s="10"/>
      <c r="Y38" s="16"/>
      <c r="Z38" s="53"/>
      <c r="AA38" s="47"/>
      <c r="AB38" s="10"/>
      <c r="AC38" s="19"/>
      <c r="AE38" s="180"/>
    </row>
    <row r="39" spans="1:31" x14ac:dyDescent="0.3">
      <c r="A39" s="180"/>
      <c r="B39" s="3" t="s">
        <v>122</v>
      </c>
      <c r="C39" s="3" t="s">
        <v>123</v>
      </c>
      <c r="D39" s="3" t="s">
        <v>43</v>
      </c>
      <c r="E39" s="3" t="s">
        <v>438</v>
      </c>
      <c r="F39" s="130"/>
      <c r="G39" s="113"/>
      <c r="H39" s="82"/>
      <c r="I39" s="81"/>
      <c r="J39" s="130"/>
      <c r="K39" s="113"/>
      <c r="L39" s="82"/>
      <c r="M39" s="81"/>
      <c r="N39" s="130"/>
      <c r="O39" s="113"/>
      <c r="P39" s="82"/>
      <c r="Q39" s="81"/>
      <c r="R39" s="93"/>
      <c r="S39" s="96"/>
      <c r="T39" s="91"/>
      <c r="U39" s="81"/>
      <c r="V39" s="93"/>
      <c r="W39" s="113"/>
      <c r="X39" s="10"/>
      <c r="Y39" s="16"/>
      <c r="Z39" s="53"/>
      <c r="AA39" s="47"/>
      <c r="AB39" s="10"/>
      <c r="AC39" s="19"/>
      <c r="AE39" s="180"/>
    </row>
    <row r="40" spans="1:31" x14ac:dyDescent="0.3">
      <c r="A40" s="180"/>
      <c r="B40" s="3" t="s">
        <v>124</v>
      </c>
      <c r="C40" s="3" t="s">
        <v>125</v>
      </c>
      <c r="D40" s="3" t="s">
        <v>43</v>
      </c>
      <c r="E40" s="3" t="s">
        <v>439</v>
      </c>
      <c r="F40" s="130"/>
      <c r="G40" s="113"/>
      <c r="H40" s="82"/>
      <c r="I40" s="81"/>
      <c r="J40" s="130"/>
      <c r="K40" s="113"/>
      <c r="L40" s="82"/>
      <c r="M40" s="81"/>
      <c r="N40" s="130"/>
      <c r="O40" s="113"/>
      <c r="P40" s="82"/>
      <c r="Q40" s="81"/>
      <c r="R40" s="93"/>
      <c r="S40" s="96"/>
      <c r="T40" s="91"/>
      <c r="U40" s="81"/>
      <c r="V40" s="93"/>
      <c r="W40" s="113"/>
      <c r="X40" s="10"/>
      <c r="Y40" s="16"/>
      <c r="Z40" s="53"/>
      <c r="AA40" s="47"/>
      <c r="AB40" s="10"/>
      <c r="AC40" s="19"/>
      <c r="AE40" s="180"/>
    </row>
    <row r="41" spans="1:31" x14ac:dyDescent="0.3">
      <c r="A41" s="180"/>
      <c r="B41" s="3" t="s">
        <v>126</v>
      </c>
      <c r="C41" s="3" t="s">
        <v>127</v>
      </c>
      <c r="D41" s="3" t="s">
        <v>43</v>
      </c>
      <c r="E41" s="3" t="s">
        <v>440</v>
      </c>
      <c r="F41" s="130"/>
      <c r="G41" s="113"/>
      <c r="H41" s="82"/>
      <c r="I41" s="81"/>
      <c r="J41" s="130"/>
      <c r="K41" s="113"/>
      <c r="L41" s="82"/>
      <c r="M41" s="81"/>
      <c r="N41" s="130"/>
      <c r="O41" s="113"/>
      <c r="P41" s="82"/>
      <c r="Q41" s="81"/>
      <c r="R41" s="93"/>
      <c r="S41" s="96"/>
      <c r="T41" s="91"/>
      <c r="U41" s="81"/>
      <c r="V41" s="93"/>
      <c r="W41" s="113"/>
      <c r="X41" s="10"/>
      <c r="Y41" s="16"/>
      <c r="Z41" s="53"/>
      <c r="AA41" s="47"/>
      <c r="AB41" s="10"/>
      <c r="AC41" s="19"/>
      <c r="AE41" s="180"/>
    </row>
    <row r="42" spans="1:31" x14ac:dyDescent="0.3">
      <c r="A42" s="180"/>
      <c r="B42" s="3" t="s">
        <v>128</v>
      </c>
      <c r="C42" s="3" t="s">
        <v>129</v>
      </c>
      <c r="D42" s="3" t="s">
        <v>43</v>
      </c>
      <c r="E42" s="3" t="s">
        <v>441</v>
      </c>
      <c r="F42" s="130"/>
      <c r="G42" s="113"/>
      <c r="H42" s="82"/>
      <c r="I42" s="81"/>
      <c r="J42" s="130"/>
      <c r="K42" s="113"/>
      <c r="L42" s="82"/>
      <c r="M42" s="81"/>
      <c r="N42" s="130"/>
      <c r="O42" s="113"/>
      <c r="P42" s="82"/>
      <c r="Q42" s="81"/>
      <c r="R42" s="93"/>
      <c r="S42" s="96"/>
      <c r="T42" s="91"/>
      <c r="U42" s="81"/>
      <c r="V42" s="93"/>
      <c r="W42" s="113"/>
      <c r="X42" s="10"/>
      <c r="Y42" s="16"/>
      <c r="Z42" s="53"/>
      <c r="AA42" s="47"/>
      <c r="AB42" s="10"/>
      <c r="AC42" s="19"/>
      <c r="AE42" s="180"/>
    </row>
    <row r="43" spans="1:31" x14ac:dyDescent="0.3">
      <c r="A43" s="180"/>
      <c r="B43" s="3" t="s">
        <v>131</v>
      </c>
      <c r="C43" s="3" t="s">
        <v>132</v>
      </c>
      <c r="D43" s="3" t="s">
        <v>43</v>
      </c>
      <c r="E43" s="3" t="s">
        <v>442</v>
      </c>
      <c r="F43" s="130"/>
      <c r="G43" s="113"/>
      <c r="H43" s="82"/>
      <c r="I43" s="81"/>
      <c r="J43" s="130"/>
      <c r="K43" s="113"/>
      <c r="L43" s="82"/>
      <c r="M43" s="81"/>
      <c r="N43" s="130"/>
      <c r="O43" s="113"/>
      <c r="P43" s="82"/>
      <c r="Q43" s="81"/>
      <c r="R43" s="93"/>
      <c r="S43" s="96"/>
      <c r="T43" s="91"/>
      <c r="U43" s="81"/>
      <c r="V43" s="93"/>
      <c r="W43" s="113"/>
      <c r="X43" s="10"/>
      <c r="Y43" s="16"/>
      <c r="Z43" s="53"/>
      <c r="AA43" s="47"/>
      <c r="AB43" s="10"/>
      <c r="AC43" s="19"/>
      <c r="AE43" s="180"/>
    </row>
    <row r="44" spans="1:31" x14ac:dyDescent="0.3">
      <c r="A44" s="180"/>
      <c r="B44" s="3" t="s">
        <v>133</v>
      </c>
      <c r="C44" s="3" t="s">
        <v>134</v>
      </c>
      <c r="D44" s="3" t="s">
        <v>43</v>
      </c>
      <c r="E44" s="3" t="s">
        <v>443</v>
      </c>
      <c r="F44" s="130"/>
      <c r="G44" s="113"/>
      <c r="H44" s="82"/>
      <c r="I44" s="81"/>
      <c r="J44" s="130"/>
      <c r="K44" s="113"/>
      <c r="L44" s="82"/>
      <c r="M44" s="81"/>
      <c r="N44" s="130"/>
      <c r="O44" s="113"/>
      <c r="P44" s="82"/>
      <c r="Q44" s="81"/>
      <c r="R44" s="93"/>
      <c r="S44" s="96"/>
      <c r="T44" s="91"/>
      <c r="U44" s="81"/>
      <c r="V44" s="93"/>
      <c r="W44" s="113"/>
      <c r="X44" s="10"/>
      <c r="Y44" s="16"/>
      <c r="Z44" s="53"/>
      <c r="AA44" s="47"/>
      <c r="AB44" s="10"/>
      <c r="AC44" s="19"/>
      <c r="AE44" s="180"/>
    </row>
    <row r="45" spans="1:31" x14ac:dyDescent="0.3">
      <c r="A45" s="180"/>
      <c r="B45" s="3" t="s">
        <v>136</v>
      </c>
      <c r="C45" s="3" t="s">
        <v>137</v>
      </c>
      <c r="D45" s="3" t="s">
        <v>43</v>
      </c>
      <c r="E45" s="3" t="s">
        <v>444</v>
      </c>
      <c r="F45" s="130"/>
      <c r="G45" s="113"/>
      <c r="H45" s="82"/>
      <c r="I45" s="81"/>
      <c r="J45" s="130"/>
      <c r="K45" s="113"/>
      <c r="L45" s="82"/>
      <c r="M45" s="81"/>
      <c r="N45" s="130"/>
      <c r="O45" s="113"/>
      <c r="P45" s="82"/>
      <c r="Q45" s="81"/>
      <c r="R45" s="93"/>
      <c r="S45" s="96"/>
      <c r="T45" s="91"/>
      <c r="U45" s="81"/>
      <c r="V45" s="93"/>
      <c r="W45" s="113"/>
      <c r="X45" s="10"/>
      <c r="Y45" s="16"/>
      <c r="Z45" s="53"/>
      <c r="AA45" s="47"/>
      <c r="AB45" s="10"/>
      <c r="AC45" s="19"/>
      <c r="AE45" s="180"/>
    </row>
    <row r="46" spans="1:31" x14ac:dyDescent="0.3">
      <c r="A46" s="180"/>
      <c r="B46" s="3" t="s">
        <v>138</v>
      </c>
      <c r="C46" s="3" t="s">
        <v>139</v>
      </c>
      <c r="D46" s="3" t="s">
        <v>43</v>
      </c>
      <c r="E46" s="3" t="s">
        <v>445</v>
      </c>
      <c r="F46" s="130"/>
      <c r="G46" s="113"/>
      <c r="H46" s="82"/>
      <c r="I46" s="81"/>
      <c r="J46" s="130"/>
      <c r="K46" s="113"/>
      <c r="L46" s="82"/>
      <c r="M46" s="81"/>
      <c r="N46" s="130"/>
      <c r="O46" s="113"/>
      <c r="P46" s="82"/>
      <c r="Q46" s="81"/>
      <c r="R46" s="93"/>
      <c r="S46" s="96"/>
      <c r="T46" s="91"/>
      <c r="U46" s="81"/>
      <c r="V46" s="93"/>
      <c r="W46" s="113"/>
      <c r="X46" s="10"/>
      <c r="Y46" s="16"/>
      <c r="Z46" s="53"/>
      <c r="AA46" s="47"/>
      <c r="AB46" s="10"/>
      <c r="AC46" s="19"/>
      <c r="AE46" s="180"/>
    </row>
    <row r="47" spans="1:31" x14ac:dyDescent="0.3">
      <c r="A47" s="180"/>
      <c r="B47" s="3" t="s">
        <v>141</v>
      </c>
      <c r="C47" s="3" t="s">
        <v>142</v>
      </c>
      <c r="D47" s="3" t="s">
        <v>43</v>
      </c>
      <c r="E47" s="3" t="s">
        <v>446</v>
      </c>
      <c r="F47" s="130"/>
      <c r="G47" s="113"/>
      <c r="H47" s="82"/>
      <c r="I47" s="81"/>
      <c r="J47" s="131"/>
      <c r="K47" s="113"/>
      <c r="L47" s="82"/>
      <c r="M47" s="81"/>
      <c r="N47" s="130"/>
      <c r="O47" s="113"/>
      <c r="P47" s="82"/>
      <c r="Q47" s="81"/>
      <c r="R47" s="53"/>
      <c r="S47" s="47"/>
      <c r="T47" s="91"/>
      <c r="U47" s="81"/>
      <c r="V47" s="93"/>
      <c r="W47" s="113"/>
      <c r="X47" s="10"/>
      <c r="Y47" s="16"/>
      <c r="Z47" s="53"/>
      <c r="AA47" s="47"/>
      <c r="AB47" s="10"/>
      <c r="AC47" s="19"/>
      <c r="AE47" s="180"/>
    </row>
    <row r="48" spans="1:31" x14ac:dyDescent="0.3">
      <c r="A48" s="180"/>
      <c r="B48" s="3" t="s">
        <v>143</v>
      </c>
      <c r="C48" s="3" t="s">
        <v>144</v>
      </c>
      <c r="D48" s="3" t="s">
        <v>43</v>
      </c>
      <c r="E48" s="3" t="s">
        <v>447</v>
      </c>
      <c r="F48" s="130"/>
      <c r="G48" s="113"/>
      <c r="H48" s="82"/>
      <c r="I48" s="81"/>
      <c r="J48" s="130"/>
      <c r="K48" s="113"/>
      <c r="L48" s="82"/>
      <c r="M48" s="81"/>
      <c r="N48" s="130"/>
      <c r="O48" s="113"/>
      <c r="P48" s="82"/>
      <c r="Q48" s="81"/>
      <c r="R48" s="93"/>
      <c r="S48" s="96"/>
      <c r="T48" s="91"/>
      <c r="U48" s="81"/>
      <c r="V48" s="93"/>
      <c r="W48" s="113"/>
      <c r="X48" s="10"/>
      <c r="Y48" s="16"/>
      <c r="Z48" s="53"/>
      <c r="AA48" s="47"/>
      <c r="AB48" s="10"/>
      <c r="AC48" s="19"/>
      <c r="AE48" s="180"/>
    </row>
    <row r="49" spans="1:31" x14ac:dyDescent="0.3">
      <c r="A49" s="180"/>
      <c r="B49" s="3" t="s">
        <v>145</v>
      </c>
      <c r="C49" s="3" t="s">
        <v>146</v>
      </c>
      <c r="D49" s="3" t="s">
        <v>43</v>
      </c>
      <c r="E49" s="3" t="s">
        <v>448</v>
      </c>
      <c r="F49" s="130"/>
      <c r="G49" s="113"/>
      <c r="H49" s="82"/>
      <c r="I49" s="81"/>
      <c r="J49" s="130"/>
      <c r="K49" s="113"/>
      <c r="L49" s="82"/>
      <c r="M49" s="81"/>
      <c r="N49" s="130"/>
      <c r="O49" s="113"/>
      <c r="P49" s="82"/>
      <c r="Q49" s="81"/>
      <c r="R49" s="93"/>
      <c r="S49" s="96"/>
      <c r="T49" s="91"/>
      <c r="U49" s="81"/>
      <c r="V49" s="93"/>
      <c r="W49" s="113"/>
      <c r="X49" s="10"/>
      <c r="Y49" s="16"/>
      <c r="Z49" s="53"/>
      <c r="AA49" s="47"/>
      <c r="AB49" s="10"/>
      <c r="AC49" s="19"/>
      <c r="AE49" s="180"/>
    </row>
    <row r="50" spans="1:31" x14ac:dyDescent="0.3">
      <c r="A50" s="180"/>
      <c r="B50" s="3"/>
      <c r="D50" s="3"/>
      <c r="F50" s="112"/>
      <c r="G50" s="113"/>
      <c r="H50" s="81"/>
      <c r="I50" s="81"/>
      <c r="J50" s="112"/>
      <c r="K50" s="113"/>
      <c r="L50" s="81"/>
      <c r="M50" s="81"/>
      <c r="N50" s="112"/>
      <c r="O50" s="113"/>
      <c r="P50" s="81"/>
      <c r="Q50" s="81"/>
      <c r="R50" s="93"/>
      <c r="S50" s="96"/>
      <c r="T50" s="91"/>
      <c r="U50" s="81"/>
      <c r="V50" s="93"/>
      <c r="W50" s="113"/>
      <c r="X50" s="10"/>
      <c r="Y50" s="16"/>
      <c r="Z50" s="53"/>
      <c r="AA50" s="47"/>
      <c r="AB50" s="10"/>
      <c r="AC50" s="19"/>
      <c r="AE50" s="180"/>
    </row>
    <row r="51" spans="1:31" x14ac:dyDescent="0.3">
      <c r="A51" s="180"/>
      <c r="B51" s="3" t="s">
        <v>150</v>
      </c>
      <c r="C51" s="3" t="s">
        <v>219</v>
      </c>
      <c r="D51" s="3" t="s">
        <v>449</v>
      </c>
      <c r="E51" s="3" t="s">
        <v>450</v>
      </c>
      <c r="F51" s="130"/>
      <c r="G51" s="113"/>
      <c r="H51" s="81"/>
      <c r="I51" s="81"/>
      <c r="J51" s="130"/>
      <c r="K51" s="113"/>
      <c r="L51" s="82"/>
      <c r="M51" s="81"/>
      <c r="N51" s="130"/>
      <c r="O51" s="113"/>
      <c r="P51" s="82"/>
      <c r="Q51" s="81"/>
      <c r="R51" s="93"/>
      <c r="S51" s="96"/>
      <c r="T51" s="91"/>
      <c r="U51" s="81"/>
      <c r="V51" s="93"/>
      <c r="W51" s="113"/>
      <c r="X51" s="10"/>
      <c r="Y51" s="16"/>
      <c r="Z51" s="53"/>
      <c r="AA51" s="47"/>
      <c r="AB51" s="10"/>
      <c r="AC51" s="19"/>
      <c r="AE51" s="180"/>
    </row>
    <row r="52" spans="1:31" x14ac:dyDescent="0.3">
      <c r="A52" s="180"/>
      <c r="B52" s="3" t="s">
        <v>147</v>
      </c>
      <c r="D52" s="3" t="s">
        <v>449</v>
      </c>
      <c r="E52" s="3" t="s">
        <v>448</v>
      </c>
      <c r="F52" s="130"/>
      <c r="G52" s="113"/>
      <c r="H52" s="82"/>
      <c r="I52" s="81"/>
      <c r="J52" s="130"/>
      <c r="K52" s="113"/>
      <c r="L52" s="82"/>
      <c r="M52" s="81"/>
      <c r="N52" s="130"/>
      <c r="O52" s="113"/>
      <c r="P52" s="82"/>
      <c r="Q52" s="81"/>
      <c r="R52" s="97"/>
      <c r="S52" s="98"/>
      <c r="T52" s="91"/>
      <c r="U52" s="81"/>
      <c r="V52" s="93"/>
      <c r="W52" s="113"/>
      <c r="X52" s="10"/>
      <c r="Y52" s="16"/>
      <c r="Z52" s="53"/>
      <c r="AA52" s="47"/>
      <c r="AB52" s="10"/>
      <c r="AC52" s="19"/>
      <c r="AE52" s="180"/>
    </row>
    <row r="53" spans="1:31" x14ac:dyDescent="0.3">
      <c r="A53" s="180"/>
      <c r="B53" s="3" t="s">
        <v>147</v>
      </c>
      <c r="D53" s="3" t="s">
        <v>449</v>
      </c>
      <c r="E53" s="3" t="s">
        <v>410</v>
      </c>
      <c r="F53" s="130"/>
      <c r="G53" s="113"/>
      <c r="H53" s="82"/>
      <c r="I53" s="81"/>
      <c r="J53" s="130"/>
      <c r="K53" s="113"/>
      <c r="L53" s="82"/>
      <c r="M53" s="81"/>
      <c r="N53" s="130"/>
      <c r="O53" s="113"/>
      <c r="P53" s="82"/>
      <c r="Q53" s="81"/>
      <c r="R53" s="97"/>
      <c r="S53" s="98"/>
      <c r="T53" s="91"/>
      <c r="U53" s="81"/>
      <c r="V53" s="93"/>
      <c r="W53" s="113"/>
      <c r="X53" s="10"/>
      <c r="Y53" s="16"/>
      <c r="Z53" s="53"/>
      <c r="AA53" s="47"/>
      <c r="AB53" s="10"/>
      <c r="AC53" s="19"/>
      <c r="AE53" s="180"/>
    </row>
    <row r="54" spans="1:31" x14ac:dyDescent="0.3">
      <c r="A54" s="180"/>
      <c r="B54" s="3" t="s">
        <v>147</v>
      </c>
      <c r="D54" s="3" t="s">
        <v>449</v>
      </c>
      <c r="E54" s="3" t="s">
        <v>451</v>
      </c>
      <c r="F54" s="112"/>
      <c r="G54" s="113"/>
      <c r="H54" s="81"/>
      <c r="I54" s="81"/>
      <c r="J54" s="112"/>
      <c r="K54" s="113"/>
      <c r="L54" s="81"/>
      <c r="M54" s="81"/>
      <c r="N54" s="112"/>
      <c r="O54" s="113"/>
      <c r="P54" s="81"/>
      <c r="Q54" s="81"/>
      <c r="R54" s="97"/>
      <c r="S54" s="98"/>
      <c r="T54" s="91"/>
      <c r="U54" s="81"/>
      <c r="V54" s="93"/>
      <c r="W54" s="113"/>
      <c r="X54" s="10"/>
      <c r="Y54" s="16"/>
      <c r="Z54" s="53"/>
      <c r="AA54" s="47"/>
      <c r="AB54" s="10"/>
      <c r="AC54" s="19"/>
      <c r="AE54" s="180"/>
    </row>
    <row r="55" spans="1:31" x14ac:dyDescent="0.3">
      <c r="A55" s="180"/>
      <c r="B55" s="3" t="s">
        <v>150</v>
      </c>
      <c r="C55" s="3" t="s">
        <v>218</v>
      </c>
      <c r="D55" s="3" t="s">
        <v>449</v>
      </c>
      <c r="E55" s="3" t="s">
        <v>452</v>
      </c>
      <c r="F55" s="130"/>
      <c r="G55" s="113"/>
      <c r="H55" s="81"/>
      <c r="I55" s="81"/>
      <c r="J55" s="130"/>
      <c r="K55" s="113"/>
      <c r="L55" s="82"/>
      <c r="M55" s="81"/>
      <c r="N55" s="130"/>
      <c r="O55" s="113"/>
      <c r="P55" s="82"/>
      <c r="Q55" s="81"/>
      <c r="R55" s="93"/>
      <c r="S55" s="96"/>
      <c r="T55" s="91"/>
      <c r="U55" s="81"/>
      <c r="V55" s="93"/>
      <c r="W55" s="113"/>
      <c r="X55" s="10"/>
      <c r="Y55" s="16"/>
      <c r="Z55" s="53"/>
      <c r="AA55" s="47"/>
      <c r="AB55" s="10"/>
      <c r="AC55" s="19"/>
      <c r="AE55" s="180"/>
    </row>
    <row r="56" spans="1:31" x14ac:dyDescent="0.3">
      <c r="A56" s="180"/>
      <c r="B56" s="3" t="s">
        <v>150</v>
      </c>
      <c r="C56" s="3" t="s">
        <v>453</v>
      </c>
      <c r="D56" s="3" t="s">
        <v>449</v>
      </c>
      <c r="E56" s="3" t="s">
        <v>454</v>
      </c>
      <c r="F56" s="130"/>
      <c r="G56" s="113"/>
      <c r="H56" s="81"/>
      <c r="I56" s="81"/>
      <c r="J56" s="130"/>
      <c r="K56" s="113"/>
      <c r="L56" s="82"/>
      <c r="M56" s="81"/>
      <c r="N56" s="130"/>
      <c r="O56" s="113"/>
      <c r="P56" s="82"/>
      <c r="Q56" s="81"/>
      <c r="R56" s="93"/>
      <c r="S56" s="96"/>
      <c r="T56" s="91"/>
      <c r="U56" s="81"/>
      <c r="V56" s="93"/>
      <c r="W56" s="113"/>
      <c r="X56" s="10"/>
      <c r="Y56" s="16"/>
      <c r="Z56" s="53"/>
      <c r="AA56" s="47"/>
      <c r="AB56" s="10"/>
      <c r="AC56" s="19"/>
      <c r="AE56" s="180"/>
    </row>
    <row r="57" spans="1:31" x14ac:dyDescent="0.3">
      <c r="A57" s="180"/>
      <c r="B57" s="3" t="s">
        <v>150</v>
      </c>
      <c r="C57" s="3" t="s">
        <v>217</v>
      </c>
      <c r="D57" s="3" t="s">
        <v>40</v>
      </c>
      <c r="E57" s="3" t="s">
        <v>455</v>
      </c>
      <c r="F57" s="130"/>
      <c r="G57" s="113"/>
      <c r="H57" s="81"/>
      <c r="I57" s="81"/>
      <c r="J57" s="132"/>
      <c r="K57" s="113"/>
      <c r="L57" s="127"/>
      <c r="M57" s="81"/>
      <c r="N57" s="160"/>
      <c r="O57" s="113"/>
      <c r="P57" s="82"/>
      <c r="Q57" s="81"/>
      <c r="R57" s="93"/>
      <c r="S57" s="96"/>
      <c r="T57" s="91"/>
      <c r="U57" s="81"/>
      <c r="V57" s="93"/>
      <c r="W57" s="113"/>
      <c r="X57" s="10"/>
      <c r="Y57" s="16"/>
      <c r="Z57" s="53"/>
      <c r="AA57" s="47"/>
      <c r="AB57" s="10"/>
      <c r="AC57" s="19"/>
      <c r="AE57" s="180"/>
    </row>
    <row r="58" spans="1:31" x14ac:dyDescent="0.3">
      <c r="A58" s="180"/>
      <c r="B58" s="3" t="s">
        <v>150</v>
      </c>
      <c r="C58" s="3" t="s">
        <v>456</v>
      </c>
      <c r="D58" s="3" t="s">
        <v>39</v>
      </c>
      <c r="E58" s="3" t="s">
        <v>457</v>
      </c>
      <c r="F58" s="130"/>
      <c r="G58" s="113"/>
      <c r="H58" s="81"/>
      <c r="I58" s="81"/>
      <c r="J58" s="130"/>
      <c r="K58" s="113"/>
      <c r="L58" s="82"/>
      <c r="M58" s="81"/>
      <c r="N58" s="130"/>
      <c r="O58" s="113"/>
      <c r="P58" s="82"/>
      <c r="Q58" s="81"/>
      <c r="R58" s="93"/>
      <c r="S58" s="96"/>
      <c r="T58" s="91"/>
      <c r="U58" s="81"/>
      <c r="V58" s="93"/>
      <c r="W58" s="113"/>
      <c r="X58" s="10"/>
      <c r="Y58" s="16"/>
      <c r="Z58" s="53"/>
      <c r="AA58" s="47"/>
      <c r="AB58" s="10"/>
      <c r="AC58" s="19"/>
      <c r="AE58" s="180"/>
    </row>
    <row r="59" spans="1:31" x14ac:dyDescent="0.3">
      <c r="A59" s="180"/>
      <c r="B59" s="3" t="s">
        <v>147</v>
      </c>
      <c r="C59" s="3" t="s">
        <v>458</v>
      </c>
      <c r="D59" s="3" t="s">
        <v>39</v>
      </c>
      <c r="E59" s="3" t="s">
        <v>459</v>
      </c>
      <c r="F59" s="112"/>
      <c r="G59" s="113"/>
      <c r="H59" s="81"/>
      <c r="I59" s="81"/>
      <c r="J59" s="112"/>
      <c r="K59" s="113"/>
      <c r="L59" s="81"/>
      <c r="M59" s="81"/>
      <c r="N59" s="112"/>
      <c r="O59" s="113"/>
      <c r="P59" s="81"/>
      <c r="Q59" s="81"/>
      <c r="R59" s="97"/>
      <c r="S59" s="98"/>
      <c r="T59" s="91"/>
      <c r="U59" s="81"/>
      <c r="V59" s="93"/>
      <c r="W59" s="113"/>
      <c r="X59" s="10"/>
      <c r="Y59" s="16"/>
      <c r="Z59" s="53"/>
      <c r="AA59" s="47"/>
      <c r="AB59" s="10"/>
      <c r="AC59" s="19"/>
      <c r="AE59" s="180"/>
    </row>
    <row r="60" spans="1:31" x14ac:dyDescent="0.3">
      <c r="A60" s="180"/>
      <c r="B60" s="3" t="s">
        <v>150</v>
      </c>
      <c r="C60" s="3" t="s">
        <v>224</v>
      </c>
      <c r="D60" s="3" t="s">
        <v>39</v>
      </c>
      <c r="E60" s="3" t="s">
        <v>460</v>
      </c>
      <c r="F60" s="130"/>
      <c r="G60" s="113"/>
      <c r="H60" s="82"/>
      <c r="I60" s="81"/>
      <c r="J60" s="130"/>
      <c r="K60" s="113"/>
      <c r="L60" s="82"/>
      <c r="M60" s="81"/>
      <c r="N60" s="130"/>
      <c r="O60" s="113"/>
      <c r="P60" s="82"/>
      <c r="Q60" s="81"/>
      <c r="R60" s="93"/>
      <c r="S60" s="96"/>
      <c r="T60" s="91"/>
      <c r="U60" s="81"/>
      <c r="V60" s="93"/>
      <c r="W60" s="113"/>
      <c r="X60" s="10"/>
      <c r="Y60" s="16"/>
      <c r="Z60" s="53"/>
      <c r="AA60" s="47"/>
      <c r="AB60" s="10"/>
      <c r="AC60" s="19"/>
      <c r="AE60" s="180"/>
    </row>
    <row r="61" spans="1:31" x14ac:dyDescent="0.3">
      <c r="A61" s="180"/>
      <c r="B61" s="3" t="s">
        <v>147</v>
      </c>
      <c r="C61" s="3" t="s">
        <v>161</v>
      </c>
      <c r="D61" s="3" t="s">
        <v>44</v>
      </c>
      <c r="E61" s="3" t="s">
        <v>461</v>
      </c>
      <c r="F61" s="130"/>
      <c r="G61" s="113"/>
      <c r="H61" s="81"/>
      <c r="I61" s="81"/>
      <c r="J61" s="130"/>
      <c r="K61" s="113"/>
      <c r="L61" s="82"/>
      <c r="M61" s="81"/>
      <c r="N61" s="130"/>
      <c r="O61" s="113"/>
      <c r="P61" s="82"/>
      <c r="Q61" s="81"/>
      <c r="R61" s="93"/>
      <c r="S61" s="96"/>
      <c r="T61" s="91"/>
      <c r="U61" s="81"/>
      <c r="V61" s="93"/>
      <c r="W61" s="113"/>
      <c r="X61" s="10"/>
      <c r="Y61" s="16"/>
      <c r="Z61" s="53"/>
      <c r="AA61" s="47"/>
      <c r="AB61" s="10"/>
      <c r="AC61" s="19"/>
      <c r="AE61" s="180"/>
    </row>
    <row r="62" spans="1:31" x14ac:dyDescent="0.3">
      <c r="A62" s="180"/>
      <c r="B62" s="3" t="s">
        <v>150</v>
      </c>
      <c r="C62" s="3" t="s">
        <v>458</v>
      </c>
      <c r="D62" s="3" t="s">
        <v>39</v>
      </c>
      <c r="E62" s="3" t="s">
        <v>462</v>
      </c>
      <c r="F62" s="130"/>
      <c r="G62" s="113"/>
      <c r="H62" s="81"/>
      <c r="I62" s="81"/>
      <c r="J62" s="130"/>
      <c r="K62" s="113"/>
      <c r="L62" s="82"/>
      <c r="M62" s="81"/>
      <c r="N62" s="130"/>
      <c r="O62" s="113"/>
      <c r="P62" s="82"/>
      <c r="Q62" s="81"/>
      <c r="R62" s="93"/>
      <c r="S62" s="96"/>
      <c r="T62" s="91"/>
      <c r="U62" s="81"/>
      <c r="V62" s="93"/>
      <c r="W62" s="113"/>
      <c r="X62" s="10"/>
      <c r="Y62" s="16"/>
      <c r="Z62" s="53"/>
      <c r="AA62" s="47"/>
      <c r="AB62" s="10"/>
      <c r="AC62" s="19"/>
      <c r="AE62" s="180"/>
    </row>
    <row r="63" spans="1:31" x14ac:dyDescent="0.3">
      <c r="A63" s="180"/>
      <c r="B63" s="3" t="s">
        <v>463</v>
      </c>
      <c r="C63" s="3" t="s">
        <v>212</v>
      </c>
      <c r="D63" s="3" t="s">
        <v>39</v>
      </c>
      <c r="E63" s="3" t="s">
        <v>464</v>
      </c>
      <c r="F63" s="130"/>
      <c r="G63" s="113"/>
      <c r="H63" s="81"/>
      <c r="I63" s="81"/>
      <c r="J63" s="132"/>
      <c r="K63" s="113"/>
      <c r="L63" s="127"/>
      <c r="M63" s="81"/>
      <c r="N63" s="160"/>
      <c r="O63" s="113"/>
      <c r="P63" s="82"/>
      <c r="Q63" s="81"/>
      <c r="R63" s="93"/>
      <c r="S63" s="96"/>
      <c r="T63" s="91"/>
      <c r="U63" s="81"/>
      <c r="V63" s="93"/>
      <c r="W63" s="113"/>
      <c r="X63" s="10"/>
      <c r="Y63" s="16"/>
      <c r="Z63" s="53"/>
      <c r="AA63" s="47"/>
      <c r="AB63" s="10"/>
      <c r="AC63" s="19"/>
      <c r="AE63" s="180"/>
    </row>
    <row r="64" spans="1:31" x14ac:dyDescent="0.3">
      <c r="A64" s="180"/>
      <c r="B64" s="3" t="s">
        <v>150</v>
      </c>
      <c r="C64" s="3" t="s">
        <v>379</v>
      </c>
      <c r="D64" s="3" t="s">
        <v>39</v>
      </c>
      <c r="E64" s="3" t="s">
        <v>465</v>
      </c>
      <c r="F64" s="130"/>
      <c r="G64" s="113"/>
      <c r="H64" s="81"/>
      <c r="I64" s="81"/>
      <c r="J64" s="130"/>
      <c r="K64" s="113"/>
      <c r="L64" s="82"/>
      <c r="M64" s="81"/>
      <c r="N64" s="130"/>
      <c r="O64" s="113"/>
      <c r="P64" s="82"/>
      <c r="Q64" s="81"/>
      <c r="R64" s="93"/>
      <c r="S64" s="96"/>
      <c r="T64" s="91"/>
      <c r="U64" s="81"/>
      <c r="V64" s="93"/>
      <c r="W64" s="113"/>
      <c r="X64" s="10"/>
      <c r="Y64" s="16"/>
      <c r="Z64" s="53"/>
      <c r="AA64" s="47"/>
      <c r="AB64" s="10"/>
      <c r="AC64" s="19"/>
      <c r="AE64" s="180"/>
    </row>
    <row r="65" spans="1:31" x14ac:dyDescent="0.3">
      <c r="A65" s="180"/>
      <c r="B65" s="3" t="s">
        <v>463</v>
      </c>
      <c r="C65" s="3" t="s">
        <v>207</v>
      </c>
      <c r="D65" s="3" t="s">
        <v>39</v>
      </c>
      <c r="E65" s="3" t="s">
        <v>466</v>
      </c>
      <c r="F65" s="130"/>
      <c r="G65" s="113"/>
      <c r="H65" s="81"/>
      <c r="I65" s="81"/>
      <c r="J65" s="130"/>
      <c r="K65" s="113"/>
      <c r="L65" s="82"/>
      <c r="M65" s="81"/>
      <c r="N65" s="130"/>
      <c r="O65" s="113"/>
      <c r="P65" s="82"/>
      <c r="Q65" s="81"/>
      <c r="R65" s="93"/>
      <c r="S65" s="96"/>
      <c r="T65" s="91"/>
      <c r="U65" s="81"/>
      <c r="V65" s="93"/>
      <c r="W65" s="113"/>
      <c r="X65" s="10"/>
      <c r="Y65" s="16"/>
      <c r="Z65" s="53"/>
      <c r="AA65" s="47"/>
      <c r="AB65" s="10"/>
      <c r="AC65" s="19"/>
      <c r="AE65" s="180"/>
    </row>
    <row r="66" spans="1:31" x14ac:dyDescent="0.3">
      <c r="A66" s="180"/>
      <c r="B66" s="3" t="s">
        <v>467</v>
      </c>
      <c r="C66" s="3" t="s">
        <v>183</v>
      </c>
      <c r="D66" s="3" t="s">
        <v>40</v>
      </c>
      <c r="E66" s="72" t="s">
        <v>468</v>
      </c>
      <c r="F66" s="130"/>
      <c r="G66" s="113"/>
      <c r="H66" s="82"/>
      <c r="I66" s="81"/>
      <c r="J66" s="130"/>
      <c r="K66" s="113"/>
      <c r="L66" s="82"/>
      <c r="M66" s="81"/>
      <c r="N66" s="130"/>
      <c r="O66" s="113"/>
      <c r="P66" s="82"/>
      <c r="Q66" s="81"/>
      <c r="R66" s="93"/>
      <c r="S66" s="96"/>
      <c r="T66" s="91"/>
      <c r="U66" s="81"/>
      <c r="V66" s="93"/>
      <c r="W66" s="113"/>
      <c r="X66" s="10"/>
      <c r="Y66" s="16"/>
      <c r="Z66" s="53"/>
      <c r="AA66" s="47"/>
      <c r="AB66" s="10"/>
      <c r="AC66" s="19"/>
      <c r="AE66" s="180"/>
    </row>
    <row r="67" spans="1:31" x14ac:dyDescent="0.3">
      <c r="A67" s="180"/>
      <c r="B67" s="3" t="s">
        <v>316</v>
      </c>
      <c r="C67" s="3" t="s">
        <v>183</v>
      </c>
      <c r="D67" s="3" t="s">
        <v>40</v>
      </c>
      <c r="E67" s="3" t="s">
        <v>469</v>
      </c>
      <c r="F67" s="130"/>
      <c r="G67" s="113"/>
      <c r="H67" s="82"/>
      <c r="I67" s="81"/>
      <c r="J67" s="130"/>
      <c r="K67" s="113"/>
      <c r="L67" s="82"/>
      <c r="M67" s="81"/>
      <c r="N67" s="131"/>
      <c r="O67" s="113"/>
      <c r="P67" s="82"/>
      <c r="Q67" s="81"/>
      <c r="R67" s="53"/>
      <c r="S67" s="47"/>
      <c r="T67" s="91"/>
      <c r="U67" s="81"/>
      <c r="V67" s="93"/>
      <c r="W67" s="113"/>
      <c r="X67" s="10"/>
      <c r="Y67" s="16"/>
      <c r="Z67" s="53"/>
      <c r="AA67" s="47"/>
      <c r="AB67" s="10"/>
      <c r="AC67" s="19"/>
      <c r="AE67" s="180"/>
    </row>
    <row r="68" spans="1:31" x14ac:dyDescent="0.3">
      <c r="A68" s="180"/>
      <c r="B68" s="3" t="s">
        <v>321</v>
      </c>
      <c r="C68" s="3" t="s">
        <v>183</v>
      </c>
      <c r="D68" s="3" t="s">
        <v>40</v>
      </c>
      <c r="E68" s="3" t="s">
        <v>470</v>
      </c>
      <c r="F68" s="130"/>
      <c r="G68" s="113"/>
      <c r="H68" s="82"/>
      <c r="I68" s="81"/>
      <c r="J68" s="130"/>
      <c r="K68" s="113"/>
      <c r="L68" s="82"/>
      <c r="M68" s="81"/>
      <c r="N68" s="130"/>
      <c r="O68" s="113"/>
      <c r="P68" s="82"/>
      <c r="Q68" s="81"/>
      <c r="R68" s="53"/>
      <c r="S68" s="47"/>
      <c r="T68" s="91"/>
      <c r="U68" s="81"/>
      <c r="V68" s="93"/>
      <c r="W68" s="113"/>
      <c r="X68" s="10"/>
      <c r="Y68" s="16"/>
      <c r="Z68" s="53"/>
      <c r="AA68" s="47"/>
      <c r="AB68" s="10"/>
      <c r="AC68" s="19"/>
      <c r="AE68" s="180"/>
    </row>
    <row r="69" spans="1:31" x14ac:dyDescent="0.3">
      <c r="A69" s="180"/>
      <c r="B69" s="3" t="s">
        <v>471</v>
      </c>
      <c r="D69" s="3" t="s">
        <v>43</v>
      </c>
      <c r="E69" s="16" t="s">
        <v>472</v>
      </c>
      <c r="F69" s="130"/>
      <c r="G69" s="113"/>
      <c r="H69" s="82"/>
      <c r="I69" s="81"/>
      <c r="J69" s="131"/>
      <c r="K69" s="113"/>
      <c r="L69" s="82"/>
      <c r="M69" s="81"/>
      <c r="N69" s="130"/>
      <c r="O69" s="113"/>
      <c r="P69" s="82"/>
      <c r="Q69" s="81"/>
      <c r="R69" s="53"/>
      <c r="S69" s="47"/>
      <c r="T69" s="91"/>
      <c r="U69" s="81"/>
      <c r="V69" s="93"/>
      <c r="W69" s="113"/>
      <c r="X69" s="10"/>
      <c r="Y69" s="16"/>
      <c r="Z69" s="53"/>
      <c r="AA69" s="47"/>
      <c r="AB69" s="10"/>
      <c r="AC69" s="19"/>
      <c r="AE69" s="180"/>
    </row>
    <row r="70" spans="1:31" x14ac:dyDescent="0.3">
      <c r="A70" s="180"/>
      <c r="B70" s="3" t="s">
        <v>312</v>
      </c>
      <c r="D70" s="3" t="s">
        <v>43</v>
      </c>
      <c r="E70" s="3" t="s">
        <v>473</v>
      </c>
      <c r="F70" s="130"/>
      <c r="G70" s="113"/>
      <c r="H70" s="82"/>
      <c r="I70" s="81"/>
      <c r="J70" s="131"/>
      <c r="K70" s="113"/>
      <c r="L70" s="82"/>
      <c r="M70" s="81"/>
      <c r="N70" s="130"/>
      <c r="O70" s="113"/>
      <c r="P70" s="82"/>
      <c r="Q70" s="81"/>
      <c r="R70" s="53"/>
      <c r="S70" s="47"/>
      <c r="T70" s="91"/>
      <c r="U70" s="81"/>
      <c r="V70" s="93"/>
      <c r="W70" s="113"/>
      <c r="X70" s="10"/>
      <c r="Y70" s="16"/>
      <c r="Z70" s="53"/>
      <c r="AA70" s="47"/>
      <c r="AB70" s="10"/>
      <c r="AC70" s="19"/>
      <c r="AE70" s="180"/>
    </row>
    <row r="71" spans="1:31" x14ac:dyDescent="0.3">
      <c r="A71" s="180"/>
      <c r="B71" s="3" t="s">
        <v>313</v>
      </c>
      <c r="D71" s="3" t="s">
        <v>43</v>
      </c>
      <c r="E71" s="3" t="s">
        <v>474</v>
      </c>
      <c r="F71" s="130"/>
      <c r="G71" s="113"/>
      <c r="H71" s="82"/>
      <c r="I71" s="81"/>
      <c r="J71" s="131"/>
      <c r="K71" s="113"/>
      <c r="L71" s="82"/>
      <c r="M71" s="81"/>
      <c r="N71" s="130"/>
      <c r="O71" s="113"/>
      <c r="P71" s="82"/>
      <c r="Q71" s="81"/>
      <c r="R71" s="53"/>
      <c r="S71" s="47"/>
      <c r="T71" s="91"/>
      <c r="U71" s="81"/>
      <c r="V71" s="93"/>
      <c r="W71" s="113"/>
      <c r="X71" s="10"/>
      <c r="Y71" s="16"/>
      <c r="Z71" s="53"/>
      <c r="AA71" s="47"/>
      <c r="AB71" s="10"/>
      <c r="AC71" s="19"/>
      <c r="AE71" s="180"/>
    </row>
    <row r="72" spans="1:31" x14ac:dyDescent="0.3">
      <c r="A72" s="180"/>
      <c r="B72" s="3" t="s">
        <v>150</v>
      </c>
      <c r="C72" s="3" t="s">
        <v>475</v>
      </c>
      <c r="D72" s="3" t="s">
        <v>449</v>
      </c>
      <c r="E72" s="3" t="s">
        <v>476</v>
      </c>
      <c r="F72" s="130"/>
      <c r="G72" s="113"/>
      <c r="H72" s="82"/>
      <c r="I72" s="81"/>
      <c r="J72" s="131"/>
      <c r="K72" s="113"/>
      <c r="L72" s="82"/>
      <c r="M72" s="81"/>
      <c r="N72" s="130"/>
      <c r="O72" s="113"/>
      <c r="P72" s="82"/>
      <c r="Q72" s="81"/>
      <c r="R72" s="53"/>
      <c r="S72" s="47"/>
      <c r="T72" s="10"/>
      <c r="U72" s="16"/>
      <c r="V72" s="112"/>
      <c r="W72" s="113"/>
      <c r="X72" s="10"/>
      <c r="Y72" s="16"/>
      <c r="Z72" s="53"/>
      <c r="AA72" s="47"/>
      <c r="AB72" s="10"/>
      <c r="AC72" s="19"/>
      <c r="AE72" s="180"/>
    </row>
    <row r="73" spans="1:31" x14ac:dyDescent="0.3">
      <c r="A73" s="180"/>
      <c r="B73" s="3"/>
      <c r="D73" s="3"/>
      <c r="F73" s="99"/>
      <c r="G73" s="47"/>
      <c r="H73" s="10"/>
      <c r="I73" s="16"/>
      <c r="J73" s="49"/>
      <c r="K73" s="47"/>
      <c r="L73" s="10"/>
      <c r="M73" s="16"/>
      <c r="N73" s="53"/>
      <c r="O73" s="54"/>
      <c r="P73" s="10"/>
      <c r="Q73" s="16"/>
      <c r="R73" s="53"/>
      <c r="S73" s="47"/>
      <c r="T73" s="10"/>
      <c r="U73" s="16"/>
      <c r="V73" s="112" t="s">
        <v>337</v>
      </c>
      <c r="W73" s="113" t="s">
        <v>337</v>
      </c>
      <c r="X73" s="10"/>
      <c r="Y73" s="16"/>
      <c r="Z73" s="53"/>
      <c r="AA73" s="47"/>
      <c r="AB73" s="10"/>
      <c r="AC73" s="19"/>
      <c r="AE73" s="180"/>
    </row>
    <row r="74" spans="1:31" x14ac:dyDescent="0.3">
      <c r="A74" s="180"/>
      <c r="B74" s="3"/>
      <c r="D74" s="3"/>
      <c r="E74" s="4"/>
      <c r="F74" s="39"/>
      <c r="G74" s="47"/>
      <c r="H74" s="10"/>
      <c r="I74" s="16"/>
      <c r="J74" s="49"/>
      <c r="K74" s="47"/>
      <c r="L74" s="10"/>
      <c r="M74" s="16"/>
      <c r="N74" s="53"/>
      <c r="O74" s="54"/>
      <c r="P74" s="10"/>
      <c r="Q74" s="16"/>
      <c r="R74" s="53"/>
      <c r="S74" s="47"/>
      <c r="T74" s="10"/>
      <c r="U74" s="16"/>
      <c r="V74" s="112" t="s">
        <v>337</v>
      </c>
      <c r="W74" s="113" t="s">
        <v>337</v>
      </c>
      <c r="X74" s="10"/>
      <c r="Y74" s="16"/>
      <c r="Z74" s="53"/>
      <c r="AA74" s="47"/>
      <c r="AB74" s="10"/>
      <c r="AC74" s="19"/>
      <c r="AE74" s="180"/>
    </row>
    <row r="75" spans="1:31" x14ac:dyDescent="0.3">
      <c r="A75" s="180"/>
      <c r="B75" s="3"/>
      <c r="D75" s="3"/>
      <c r="E75" s="4"/>
      <c r="F75" s="39"/>
      <c r="G75" s="47"/>
      <c r="H75" s="10"/>
      <c r="I75" s="16"/>
      <c r="J75" s="49"/>
      <c r="K75" s="47"/>
      <c r="L75" s="10"/>
      <c r="M75" s="16"/>
      <c r="N75" s="53"/>
      <c r="O75" s="54"/>
      <c r="P75" s="10"/>
      <c r="Q75" s="16"/>
      <c r="R75" s="53"/>
      <c r="S75" s="47"/>
      <c r="T75" s="10"/>
      <c r="U75" s="16"/>
      <c r="V75" s="112" t="s">
        <v>337</v>
      </c>
      <c r="W75" s="113" t="s">
        <v>337</v>
      </c>
      <c r="X75" s="10"/>
      <c r="Y75" s="16"/>
      <c r="Z75" s="53"/>
      <c r="AA75" s="47"/>
      <c r="AB75" s="10"/>
      <c r="AC75" s="19"/>
      <c r="AE75" s="180"/>
    </row>
    <row r="76" spans="1:31" x14ac:dyDescent="0.3">
      <c r="A76" s="180"/>
      <c r="B76" s="3"/>
      <c r="D76" s="3"/>
      <c r="E76" s="4"/>
      <c r="F76" s="39"/>
      <c r="G76" s="108"/>
      <c r="H76" s="39"/>
      <c r="I76" s="108"/>
      <c r="J76" s="39"/>
      <c r="K76" s="108"/>
      <c r="L76" s="39"/>
      <c r="M76" s="108"/>
      <c r="N76" s="39"/>
      <c r="O76" s="108"/>
      <c r="P76" s="39"/>
      <c r="Q76" s="108"/>
      <c r="R76" s="39"/>
      <c r="S76" s="108"/>
      <c r="T76" s="10"/>
      <c r="U76" s="16"/>
      <c r="V76" s="53"/>
      <c r="W76" s="47"/>
      <c r="X76" s="10"/>
      <c r="Y76" s="16"/>
      <c r="Z76" s="53"/>
      <c r="AA76" s="47"/>
      <c r="AB76" s="10"/>
      <c r="AC76" s="19"/>
      <c r="AE76" s="180"/>
    </row>
    <row r="77" spans="1:31" x14ac:dyDescent="0.3">
      <c r="A77" s="180"/>
      <c r="B77" s="3"/>
      <c r="D77" s="3"/>
      <c r="E77" s="4"/>
      <c r="F77" s="39"/>
      <c r="G77" s="47"/>
      <c r="H77" s="10"/>
      <c r="I77" s="16"/>
      <c r="J77" s="49"/>
      <c r="K77" s="47"/>
      <c r="L77" s="10"/>
      <c r="M77" s="16"/>
      <c r="N77" s="53"/>
      <c r="O77" s="54"/>
      <c r="P77" s="10"/>
      <c r="Q77" s="16"/>
      <c r="R77" s="53"/>
      <c r="S77" s="47"/>
      <c r="T77" s="10"/>
      <c r="U77" s="16"/>
      <c r="V77" s="53"/>
      <c r="W77" s="47"/>
      <c r="X77" s="10"/>
      <c r="Y77" s="16"/>
      <c r="Z77" s="53"/>
      <c r="AA77" s="47"/>
      <c r="AB77" s="10"/>
      <c r="AC77" s="19"/>
      <c r="AE77" s="180"/>
    </row>
    <row r="78" spans="1:31" x14ac:dyDescent="0.3">
      <c r="A78" s="180"/>
      <c r="B78" s="3"/>
      <c r="D78" s="3"/>
      <c r="E78" s="4"/>
      <c r="F78" s="39"/>
      <c r="G78" s="47"/>
      <c r="H78" s="10"/>
      <c r="I78" s="16"/>
      <c r="J78" s="49"/>
      <c r="K78" s="47"/>
      <c r="L78" s="10"/>
      <c r="M78" s="16"/>
      <c r="N78" s="53"/>
      <c r="O78" s="54"/>
      <c r="P78" s="10"/>
      <c r="Q78" s="16"/>
      <c r="R78" s="53"/>
      <c r="S78" s="47"/>
      <c r="T78" s="10"/>
      <c r="U78" s="16"/>
      <c r="V78" s="53"/>
      <c r="W78" s="47"/>
      <c r="X78" s="10"/>
      <c r="Y78" s="16"/>
      <c r="Z78" s="53"/>
      <c r="AA78" s="47"/>
      <c r="AB78" s="10"/>
      <c r="AC78" s="19"/>
      <c r="AE78" s="180"/>
    </row>
    <row r="79" spans="1:31" x14ac:dyDescent="0.3">
      <c r="A79" s="180"/>
      <c r="B79" s="3"/>
      <c r="D79" s="3"/>
      <c r="E79" s="4"/>
      <c r="F79" s="39"/>
      <c r="G79" s="47"/>
      <c r="H79" s="10"/>
      <c r="I79" s="16"/>
      <c r="J79" s="49"/>
      <c r="K79" s="47"/>
      <c r="L79" s="10"/>
      <c r="M79" s="16"/>
      <c r="N79" s="53"/>
      <c r="O79" s="54"/>
      <c r="P79" s="10"/>
      <c r="Q79" s="16"/>
      <c r="R79" s="53"/>
      <c r="S79" s="47"/>
      <c r="T79" s="10"/>
      <c r="U79" s="16"/>
      <c r="V79" s="53"/>
      <c r="W79" s="47"/>
      <c r="X79" s="10"/>
      <c r="Y79" s="16"/>
      <c r="Z79" s="53"/>
      <c r="AA79" s="47"/>
      <c r="AB79" s="10"/>
      <c r="AC79" s="19"/>
      <c r="AE79" s="180"/>
    </row>
    <row r="80" spans="1:31" x14ac:dyDescent="0.3">
      <c r="A80" s="180"/>
      <c r="B80" s="3"/>
      <c r="D80" s="3"/>
      <c r="E80" s="4"/>
      <c r="F80" s="39"/>
      <c r="G80" s="47"/>
      <c r="H80" s="10"/>
      <c r="I80" s="16"/>
      <c r="J80" s="49"/>
      <c r="K80" s="47"/>
      <c r="L80" s="10"/>
      <c r="M80" s="16"/>
      <c r="N80" s="53"/>
      <c r="O80" s="54"/>
      <c r="P80" s="10"/>
      <c r="Q80" s="16"/>
      <c r="R80" s="53"/>
      <c r="S80" s="47"/>
      <c r="T80" s="10"/>
      <c r="U80" s="16"/>
      <c r="V80" s="53"/>
      <c r="W80" s="47"/>
      <c r="X80" s="10"/>
      <c r="Y80" s="16"/>
      <c r="Z80" s="53"/>
      <c r="AA80" s="47"/>
      <c r="AB80" s="10"/>
      <c r="AC80" s="19"/>
      <c r="AE80" s="180"/>
    </row>
    <row r="81" spans="1:31" x14ac:dyDescent="0.3">
      <c r="A81" s="180"/>
      <c r="B81" s="3"/>
      <c r="D81" s="3"/>
      <c r="E81" s="4"/>
      <c r="F81" s="39"/>
      <c r="G81" s="47"/>
      <c r="H81" s="10"/>
      <c r="I81" s="16"/>
      <c r="J81" s="49"/>
      <c r="K81" s="47"/>
      <c r="L81" s="10"/>
      <c r="M81" s="16"/>
      <c r="N81" s="53"/>
      <c r="O81" s="54"/>
      <c r="P81" s="10"/>
      <c r="Q81" s="16"/>
      <c r="R81" s="53"/>
      <c r="S81" s="47"/>
      <c r="T81" s="10"/>
      <c r="U81" s="16"/>
      <c r="V81" s="53"/>
      <c r="W81" s="47"/>
      <c r="X81" s="10"/>
      <c r="Y81" s="16"/>
      <c r="Z81" s="53"/>
      <c r="AA81" s="47"/>
      <c r="AB81" s="10"/>
      <c r="AC81" s="19"/>
      <c r="AE81" s="180"/>
    </row>
    <row r="82" spans="1:31" x14ac:dyDescent="0.3">
      <c r="A82" s="180"/>
      <c r="B82" s="3"/>
      <c r="D82" s="3"/>
      <c r="E82" s="4"/>
      <c r="F82" s="39"/>
      <c r="G82" s="47"/>
      <c r="H82" s="10"/>
      <c r="I82" s="16"/>
      <c r="J82" s="49"/>
      <c r="K82" s="47"/>
      <c r="L82" s="10"/>
      <c r="M82" s="16"/>
      <c r="N82" s="53"/>
      <c r="O82" s="54"/>
      <c r="P82" s="10"/>
      <c r="Q82" s="16"/>
      <c r="R82" s="53"/>
      <c r="S82" s="47"/>
      <c r="T82" s="10"/>
      <c r="U82" s="16"/>
      <c r="V82" s="53"/>
      <c r="W82" s="47"/>
      <c r="X82" s="10"/>
      <c r="Y82" s="16"/>
      <c r="Z82" s="53"/>
      <c r="AA82" s="47"/>
      <c r="AB82" s="10"/>
      <c r="AC82" s="19"/>
      <c r="AE82" s="180"/>
    </row>
    <row r="83" spans="1:31" x14ac:dyDescent="0.3">
      <c r="A83" s="180"/>
      <c r="B83" s="3"/>
      <c r="D83" s="3"/>
      <c r="E83" s="4"/>
      <c r="F83" s="39"/>
      <c r="G83" s="47"/>
      <c r="H83" s="10"/>
      <c r="I83" s="16"/>
      <c r="J83" s="49"/>
      <c r="K83" s="47"/>
      <c r="L83" s="10"/>
      <c r="M83" s="16"/>
      <c r="N83" s="53"/>
      <c r="O83" s="54"/>
      <c r="P83" s="10"/>
      <c r="Q83" s="16"/>
      <c r="R83" s="53"/>
      <c r="S83" s="47"/>
      <c r="T83" s="10"/>
      <c r="U83" s="16"/>
      <c r="V83" s="53"/>
      <c r="W83" s="47"/>
      <c r="X83" s="10"/>
      <c r="Y83" s="16"/>
      <c r="Z83" s="53"/>
      <c r="AA83" s="47"/>
      <c r="AB83" s="10"/>
      <c r="AC83" s="19"/>
      <c r="AE83" s="180"/>
    </row>
    <row r="84" spans="1:31" x14ac:dyDescent="0.3">
      <c r="A84" s="180"/>
      <c r="B84" s="3"/>
      <c r="D84" s="3"/>
      <c r="E84" s="4"/>
      <c r="F84" s="39"/>
      <c r="G84" s="47"/>
      <c r="H84" s="10"/>
      <c r="I84" s="16"/>
      <c r="J84" s="49"/>
      <c r="K84" s="47"/>
      <c r="L84" s="10"/>
      <c r="M84" s="16"/>
      <c r="N84" s="53"/>
      <c r="O84" s="54"/>
      <c r="P84" s="10"/>
      <c r="Q84" s="16"/>
      <c r="R84" s="53"/>
      <c r="S84" s="47"/>
      <c r="T84" s="10"/>
      <c r="U84" s="16"/>
      <c r="V84" s="53"/>
      <c r="W84" s="47"/>
      <c r="X84" s="10"/>
      <c r="Y84" s="16"/>
      <c r="Z84" s="53"/>
      <c r="AA84" s="47"/>
      <c r="AB84" s="10"/>
      <c r="AC84" s="19"/>
      <c r="AE84" s="180"/>
    </row>
    <row r="85" spans="1:31" x14ac:dyDescent="0.3">
      <c r="A85" s="180"/>
      <c r="B85" s="3"/>
      <c r="D85" s="3"/>
      <c r="E85" s="4"/>
      <c r="F85" s="39"/>
      <c r="G85" s="47"/>
      <c r="H85" s="10"/>
      <c r="I85" s="16"/>
      <c r="J85" s="49"/>
      <c r="K85" s="47"/>
      <c r="L85" s="10"/>
      <c r="M85" s="16"/>
      <c r="N85" s="53"/>
      <c r="O85" s="54"/>
      <c r="P85" s="10"/>
      <c r="Q85" s="16"/>
      <c r="R85" s="53"/>
      <c r="S85" s="47"/>
      <c r="T85" s="10"/>
      <c r="U85" s="16"/>
      <c r="V85" s="53"/>
      <c r="W85" s="47"/>
      <c r="X85" s="10"/>
      <c r="Y85" s="16"/>
      <c r="Z85" s="53"/>
      <c r="AA85" s="47"/>
      <c r="AB85" s="10"/>
      <c r="AC85" s="19"/>
      <c r="AE85" s="180"/>
    </row>
    <row r="86" spans="1:31" x14ac:dyDescent="0.3">
      <c r="A86" s="180"/>
      <c r="B86" s="3"/>
      <c r="D86" s="3"/>
      <c r="E86" s="4"/>
      <c r="F86" s="39"/>
      <c r="G86" s="47"/>
      <c r="H86" s="10"/>
      <c r="I86" s="16"/>
      <c r="J86" s="49"/>
      <c r="K86" s="47"/>
      <c r="L86" s="10"/>
      <c r="M86" s="16"/>
      <c r="N86" s="53"/>
      <c r="O86" s="54"/>
      <c r="P86" s="10"/>
      <c r="Q86" s="16"/>
      <c r="R86" s="53"/>
      <c r="S86" s="47"/>
      <c r="T86" s="10"/>
      <c r="U86" s="16"/>
      <c r="V86" s="53"/>
      <c r="W86" s="47"/>
      <c r="X86" s="10"/>
      <c r="Y86" s="16"/>
      <c r="Z86" s="53"/>
      <c r="AA86" s="47"/>
      <c r="AB86" s="10"/>
      <c r="AC86" s="19"/>
      <c r="AE86" s="180"/>
    </row>
    <row r="87" spans="1:31" x14ac:dyDescent="0.3">
      <c r="A87" s="180"/>
      <c r="B87" s="3"/>
      <c r="D87" s="3"/>
      <c r="E87" s="4"/>
      <c r="F87" s="39"/>
      <c r="G87" s="47"/>
      <c r="H87" s="10"/>
      <c r="I87" s="16"/>
      <c r="J87" s="49"/>
      <c r="K87" s="47"/>
      <c r="L87" s="10"/>
      <c r="M87" s="16"/>
      <c r="N87" s="53"/>
      <c r="O87" s="54"/>
      <c r="P87" s="10"/>
      <c r="Q87" s="16"/>
      <c r="R87" s="53"/>
      <c r="S87" s="47"/>
      <c r="T87" s="10"/>
      <c r="U87" s="16"/>
      <c r="V87" s="53"/>
      <c r="W87" s="47"/>
      <c r="X87" s="10"/>
      <c r="Y87" s="16"/>
      <c r="Z87" s="53"/>
      <c r="AA87" s="47"/>
      <c r="AB87" s="10"/>
      <c r="AC87" s="19"/>
      <c r="AE87" s="180"/>
    </row>
    <row r="88" spans="1:31" x14ac:dyDescent="0.3">
      <c r="A88" s="180"/>
      <c r="B88" s="3"/>
      <c r="D88" s="3"/>
      <c r="E88" s="4"/>
      <c r="F88" s="39"/>
      <c r="G88" s="47"/>
      <c r="H88" s="10"/>
      <c r="I88" s="16"/>
      <c r="J88" s="49"/>
      <c r="K88" s="47"/>
      <c r="L88" s="10"/>
      <c r="M88" s="16"/>
      <c r="N88" s="53"/>
      <c r="O88" s="54"/>
      <c r="P88" s="10"/>
      <c r="Q88" s="16"/>
      <c r="R88" s="53"/>
      <c r="S88" s="47"/>
      <c r="T88" s="10"/>
      <c r="U88" s="16"/>
      <c r="V88" s="53"/>
      <c r="W88" s="47"/>
      <c r="X88" s="10"/>
      <c r="Y88" s="16"/>
      <c r="Z88" s="53"/>
      <c r="AA88" s="47"/>
      <c r="AB88" s="10"/>
      <c r="AC88" s="19"/>
      <c r="AE88" s="180"/>
    </row>
    <row r="89" spans="1:31" x14ac:dyDescent="0.3">
      <c r="A89" s="180"/>
      <c r="B89" s="3"/>
      <c r="D89" s="3"/>
      <c r="E89" s="4"/>
      <c r="F89" s="39"/>
      <c r="G89" s="47"/>
      <c r="H89" s="10"/>
      <c r="I89" s="16"/>
      <c r="J89" s="49"/>
      <c r="K89" s="47"/>
      <c r="L89" s="10"/>
      <c r="M89" s="16"/>
      <c r="N89" s="53"/>
      <c r="O89" s="54"/>
      <c r="P89" s="10"/>
      <c r="Q89" s="16"/>
      <c r="R89" s="53"/>
      <c r="S89" s="47"/>
      <c r="T89" s="10"/>
      <c r="U89" s="16"/>
      <c r="V89" s="53"/>
      <c r="W89" s="47"/>
      <c r="X89" s="10"/>
      <c r="Y89" s="16"/>
      <c r="Z89" s="53"/>
      <c r="AA89" s="47"/>
      <c r="AB89" s="10"/>
      <c r="AC89" s="19"/>
      <c r="AE89" s="180"/>
    </row>
    <row r="90" spans="1:31" x14ac:dyDescent="0.3">
      <c r="A90" s="180"/>
      <c r="B90" s="3"/>
      <c r="D90" s="3"/>
      <c r="E90" s="4"/>
      <c r="F90" s="39"/>
      <c r="G90" s="47"/>
      <c r="H90" s="10"/>
      <c r="I90" s="16"/>
      <c r="J90" s="49"/>
      <c r="K90" s="47"/>
      <c r="L90" s="10"/>
      <c r="M90" s="16"/>
      <c r="N90" s="53"/>
      <c r="O90" s="54"/>
      <c r="P90" s="10"/>
      <c r="Q90" s="16"/>
      <c r="R90" s="53"/>
      <c r="S90" s="47"/>
      <c r="T90" s="10"/>
      <c r="U90" s="16"/>
      <c r="V90" s="53"/>
      <c r="W90" s="47"/>
      <c r="X90" s="10"/>
      <c r="Y90" s="16"/>
      <c r="Z90" s="53"/>
      <c r="AA90" s="47"/>
      <c r="AB90" s="10"/>
      <c r="AC90" s="19"/>
      <c r="AE90" s="180"/>
    </row>
    <row r="91" spans="1:31" x14ac:dyDescent="0.3">
      <c r="A91" s="180"/>
      <c r="B91" s="3"/>
      <c r="D91" s="3"/>
      <c r="E91" s="4"/>
      <c r="F91" s="39"/>
      <c r="G91" s="47"/>
      <c r="H91" s="10"/>
      <c r="I91" s="16"/>
      <c r="J91" s="49"/>
      <c r="K91" s="47"/>
      <c r="L91" s="10"/>
      <c r="M91" s="16"/>
      <c r="N91" s="53"/>
      <c r="O91" s="54"/>
      <c r="P91" s="10"/>
      <c r="Q91" s="16"/>
      <c r="R91" s="53"/>
      <c r="S91" s="47"/>
      <c r="T91" s="10"/>
      <c r="U91" s="16"/>
      <c r="V91" s="53"/>
      <c r="W91" s="47"/>
      <c r="X91" s="10"/>
      <c r="Y91" s="16"/>
      <c r="Z91" s="53"/>
      <c r="AA91" s="47"/>
      <c r="AB91" s="10"/>
      <c r="AC91" s="19"/>
      <c r="AE91" s="180"/>
    </row>
    <row r="92" spans="1:31" x14ac:dyDescent="0.3">
      <c r="A92" s="180"/>
      <c r="B92" s="3"/>
      <c r="D92" s="3"/>
      <c r="E92" s="4"/>
      <c r="F92" s="39"/>
      <c r="G92" s="47"/>
      <c r="H92" s="10"/>
      <c r="I92" s="16"/>
      <c r="J92" s="49"/>
      <c r="K92" s="47"/>
      <c r="L92" s="10"/>
      <c r="M92" s="16"/>
      <c r="N92" s="53"/>
      <c r="O92" s="54"/>
      <c r="P92" s="10"/>
      <c r="Q92" s="16"/>
      <c r="R92" s="53"/>
      <c r="S92" s="47"/>
      <c r="T92" s="10"/>
      <c r="U92" s="16"/>
      <c r="V92" s="53"/>
      <c r="W92" s="47"/>
      <c r="X92" s="10"/>
      <c r="Y92" s="16"/>
      <c r="Z92" s="53"/>
      <c r="AA92" s="47"/>
      <c r="AB92" s="10"/>
      <c r="AC92" s="19"/>
      <c r="AE92" s="180"/>
    </row>
    <row r="93" spans="1:31" x14ac:dyDescent="0.3">
      <c r="A93" s="180"/>
      <c r="B93" s="3"/>
      <c r="D93" s="3"/>
      <c r="E93" s="4"/>
      <c r="F93" s="39"/>
      <c r="G93" s="47"/>
      <c r="H93" s="10"/>
      <c r="I93" s="16"/>
      <c r="J93" s="49"/>
      <c r="K93" s="47"/>
      <c r="L93" s="10"/>
      <c r="M93" s="16"/>
      <c r="N93" s="53"/>
      <c r="O93" s="54"/>
      <c r="P93" s="10"/>
      <c r="Q93" s="16"/>
      <c r="R93" s="53"/>
      <c r="S93" s="47"/>
      <c r="T93" s="10"/>
      <c r="U93" s="16"/>
      <c r="V93" s="53"/>
      <c r="W93" s="47"/>
      <c r="X93" s="10"/>
      <c r="Y93" s="16"/>
      <c r="Z93" s="53"/>
      <c r="AA93" s="47"/>
      <c r="AB93" s="10"/>
      <c r="AC93" s="19"/>
      <c r="AE93" s="180"/>
    </row>
    <row r="94" spans="1:31" x14ac:dyDescent="0.3">
      <c r="A94" s="180"/>
      <c r="B94" s="3"/>
      <c r="D94" s="3"/>
      <c r="E94" s="4"/>
      <c r="F94" s="39"/>
      <c r="G94" s="47"/>
      <c r="H94" s="10"/>
      <c r="I94" s="16"/>
      <c r="J94" s="49"/>
      <c r="K94" s="47"/>
      <c r="L94" s="10"/>
      <c r="M94" s="16"/>
      <c r="N94" s="53"/>
      <c r="O94" s="54"/>
      <c r="P94" s="10"/>
      <c r="Q94" s="16"/>
      <c r="R94" s="53"/>
      <c r="S94" s="47"/>
      <c r="T94" s="10"/>
      <c r="U94" s="16"/>
      <c r="V94" s="53"/>
      <c r="W94" s="47"/>
      <c r="X94" s="10"/>
      <c r="Y94" s="16"/>
      <c r="Z94" s="53"/>
      <c r="AA94" s="47"/>
      <c r="AB94" s="10"/>
      <c r="AC94" s="19"/>
      <c r="AE94" s="180"/>
    </row>
    <row r="95" spans="1:31" x14ac:dyDescent="0.3">
      <c r="A95" s="180"/>
      <c r="B95" s="3"/>
      <c r="D95" s="3"/>
      <c r="E95" s="4"/>
      <c r="F95" s="48"/>
      <c r="G95" s="47"/>
      <c r="H95" s="10"/>
      <c r="I95" s="16"/>
      <c r="J95" s="49"/>
      <c r="K95" s="47"/>
      <c r="L95" s="10"/>
      <c r="M95" s="16"/>
      <c r="N95" s="53"/>
      <c r="O95" s="54"/>
      <c r="P95" s="10"/>
      <c r="Q95" s="16"/>
      <c r="R95" s="53"/>
      <c r="S95" s="47"/>
      <c r="T95" s="10"/>
      <c r="U95" s="16"/>
      <c r="V95" s="53"/>
      <c r="W95" s="47"/>
      <c r="X95" s="10"/>
      <c r="Y95" s="16"/>
      <c r="Z95" s="53"/>
      <c r="AA95" s="47"/>
      <c r="AB95" s="10"/>
      <c r="AC95" s="19"/>
      <c r="AE95" s="180"/>
    </row>
    <row r="96" spans="1:31" x14ac:dyDescent="0.3">
      <c r="A96" s="180"/>
      <c r="B96" s="3"/>
      <c r="D96" s="3"/>
      <c r="E96" s="4"/>
      <c r="F96" s="48"/>
      <c r="G96" s="47"/>
      <c r="H96" s="10"/>
      <c r="I96" s="16"/>
      <c r="J96" s="49"/>
      <c r="K96" s="47"/>
      <c r="L96" s="10"/>
      <c r="M96" s="16"/>
      <c r="N96" s="53"/>
      <c r="O96" s="54"/>
      <c r="P96" s="10"/>
      <c r="Q96" s="16"/>
      <c r="R96" s="53"/>
      <c r="S96" s="47"/>
      <c r="T96" s="10"/>
      <c r="U96" s="16"/>
      <c r="V96" s="53"/>
      <c r="W96" s="47"/>
      <c r="X96" s="10"/>
      <c r="Y96" s="16"/>
      <c r="Z96" s="53"/>
      <c r="AA96" s="47"/>
      <c r="AB96" s="10"/>
      <c r="AC96" s="19"/>
      <c r="AE96" s="180"/>
    </row>
    <row r="97" spans="1:31" x14ac:dyDescent="0.3">
      <c r="A97" s="180"/>
      <c r="B97" s="3"/>
      <c r="D97" s="3"/>
      <c r="E97" s="4"/>
      <c r="F97" s="48"/>
      <c r="G97" s="47"/>
      <c r="H97" s="10"/>
      <c r="I97" s="16"/>
      <c r="J97" s="49"/>
      <c r="K97" s="47"/>
      <c r="L97" s="10"/>
      <c r="M97" s="16"/>
      <c r="N97" s="53"/>
      <c r="O97" s="54"/>
      <c r="P97" s="10"/>
      <c r="Q97" s="16"/>
      <c r="R97" s="53"/>
      <c r="S97" s="47"/>
      <c r="T97" s="10"/>
      <c r="U97" s="16"/>
      <c r="V97" s="53"/>
      <c r="W97" s="47"/>
      <c r="X97" s="10"/>
      <c r="Y97" s="16"/>
      <c r="Z97" s="53"/>
      <c r="AA97" s="47"/>
      <c r="AB97" s="10"/>
      <c r="AC97" s="19"/>
      <c r="AE97" s="180"/>
    </row>
    <row r="98" spans="1:31" x14ac:dyDescent="0.3">
      <c r="A98" s="180"/>
      <c r="B98" s="3"/>
      <c r="D98" s="3"/>
      <c r="E98" s="4"/>
      <c r="F98" s="48"/>
      <c r="G98" s="47"/>
      <c r="H98" s="10"/>
      <c r="I98" s="16"/>
      <c r="J98" s="49"/>
      <c r="K98" s="47"/>
      <c r="L98" s="10"/>
      <c r="M98" s="16"/>
      <c r="N98" s="53"/>
      <c r="O98" s="54"/>
      <c r="P98" s="10"/>
      <c r="Q98" s="16"/>
      <c r="R98" s="53"/>
      <c r="S98" s="47"/>
      <c r="T98" s="10"/>
      <c r="U98" s="16"/>
      <c r="V98" s="53"/>
      <c r="W98" s="47"/>
      <c r="X98" s="10"/>
      <c r="Y98" s="16"/>
      <c r="Z98" s="53"/>
      <c r="AA98" s="47"/>
      <c r="AB98" s="10"/>
      <c r="AC98" s="19"/>
      <c r="AE98" s="180"/>
    </row>
    <row r="99" spans="1:31" x14ac:dyDescent="0.3">
      <c r="A99" s="180"/>
      <c r="B99" s="3"/>
      <c r="D99" s="3"/>
      <c r="E99" s="4"/>
      <c r="F99" s="39"/>
      <c r="G99" s="47"/>
      <c r="H99" s="10"/>
      <c r="I99" s="16"/>
      <c r="J99" s="49"/>
      <c r="K99" s="47"/>
      <c r="L99" s="10"/>
      <c r="M99" s="16"/>
      <c r="N99" s="53"/>
      <c r="O99" s="54"/>
      <c r="P99" s="10"/>
      <c r="Q99" s="16"/>
      <c r="R99" s="53"/>
      <c r="S99" s="47"/>
      <c r="T99" s="10"/>
      <c r="U99" s="16"/>
      <c r="V99" s="53"/>
      <c r="W99" s="47"/>
      <c r="X99" s="10"/>
      <c r="Y99" s="16"/>
      <c r="Z99" s="53"/>
      <c r="AA99" s="47"/>
      <c r="AB99" s="10"/>
      <c r="AC99" s="19"/>
      <c r="AE99" s="180"/>
    </row>
    <row r="100" spans="1:31" x14ac:dyDescent="0.3">
      <c r="A100" s="180"/>
      <c r="B100" s="3"/>
      <c r="D100" s="3"/>
      <c r="E100" s="4"/>
      <c r="F100" s="39"/>
      <c r="G100" s="47"/>
      <c r="H100" s="10"/>
      <c r="I100" s="16"/>
      <c r="J100" s="49"/>
      <c r="K100" s="47"/>
      <c r="L100" s="10"/>
      <c r="M100" s="16"/>
      <c r="N100" s="53"/>
      <c r="O100" s="54"/>
      <c r="P100" s="10"/>
      <c r="Q100" s="16"/>
      <c r="R100" s="53"/>
      <c r="S100" s="47"/>
      <c r="T100" s="10"/>
      <c r="U100" s="16"/>
      <c r="V100" s="53"/>
      <c r="W100" s="47"/>
      <c r="X100" s="10"/>
      <c r="Y100" s="16"/>
      <c r="Z100" s="53"/>
      <c r="AA100" s="47"/>
      <c r="AB100" s="10"/>
      <c r="AC100" s="19"/>
      <c r="AE100" s="180"/>
    </row>
    <row r="101" spans="1:31" x14ac:dyDescent="0.3">
      <c r="A101" s="180"/>
      <c r="B101" s="3"/>
      <c r="D101" s="3"/>
      <c r="E101" s="4"/>
      <c r="F101" s="39"/>
      <c r="G101" s="47"/>
      <c r="H101" s="10"/>
      <c r="I101" s="16"/>
      <c r="J101" s="49"/>
      <c r="K101" s="47"/>
      <c r="L101" s="10"/>
      <c r="M101" s="16"/>
      <c r="N101" s="53"/>
      <c r="O101" s="54"/>
      <c r="P101" s="10"/>
      <c r="Q101" s="16"/>
      <c r="R101" s="53"/>
      <c r="S101" s="47"/>
      <c r="T101" s="10"/>
      <c r="U101" s="16"/>
      <c r="V101" s="53"/>
      <c r="W101" s="47"/>
      <c r="X101" s="10"/>
      <c r="Y101" s="16"/>
      <c r="Z101" s="53"/>
      <c r="AA101" s="47"/>
      <c r="AB101" s="10"/>
      <c r="AC101" s="19"/>
      <c r="AE101" s="180"/>
    </row>
    <row r="102" spans="1:31" x14ac:dyDescent="0.3">
      <c r="A102" s="180"/>
      <c r="B102" s="3"/>
      <c r="D102" s="3"/>
      <c r="E102" s="4"/>
      <c r="F102" s="39"/>
      <c r="G102" s="47"/>
      <c r="H102" s="10"/>
      <c r="I102" s="16"/>
      <c r="J102" s="49"/>
      <c r="K102" s="47"/>
      <c r="L102" s="10"/>
      <c r="M102" s="16"/>
      <c r="N102" s="53"/>
      <c r="O102" s="54"/>
      <c r="P102" s="10"/>
      <c r="Q102" s="16"/>
      <c r="R102" s="53"/>
      <c r="S102" s="47"/>
      <c r="T102" s="10"/>
      <c r="U102" s="16"/>
      <c r="V102" s="53"/>
      <c r="W102" s="47"/>
      <c r="X102" s="10"/>
      <c r="Y102" s="16"/>
      <c r="Z102" s="53"/>
      <c r="AA102" s="47"/>
      <c r="AB102" s="10"/>
      <c r="AC102" s="19"/>
      <c r="AE102" s="180"/>
    </row>
    <row r="103" spans="1:31" x14ac:dyDescent="0.3">
      <c r="A103" s="180"/>
      <c r="B103" s="3"/>
      <c r="D103" s="3"/>
      <c r="E103" s="4"/>
      <c r="F103" s="39"/>
      <c r="G103" s="47"/>
      <c r="H103" s="10"/>
      <c r="I103" s="16"/>
      <c r="J103" s="49"/>
      <c r="K103" s="47"/>
      <c r="L103" s="10"/>
      <c r="M103" s="16"/>
      <c r="N103" s="53"/>
      <c r="O103" s="54"/>
      <c r="P103" s="10"/>
      <c r="Q103" s="16"/>
      <c r="R103" s="53"/>
      <c r="S103" s="47"/>
      <c r="T103" s="10"/>
      <c r="U103" s="16"/>
      <c r="V103" s="53"/>
      <c r="W103" s="47"/>
      <c r="X103" s="10"/>
      <c r="Y103" s="16"/>
      <c r="Z103" s="53"/>
      <c r="AA103" s="47"/>
      <c r="AB103" s="10"/>
      <c r="AC103" s="19"/>
      <c r="AE103" s="180"/>
    </row>
    <row r="104" spans="1:31" x14ac:dyDescent="0.3">
      <c r="A104" s="180"/>
      <c r="B104" s="3"/>
      <c r="D104" s="3"/>
      <c r="E104" s="4"/>
      <c r="F104" s="39"/>
      <c r="G104" s="47"/>
      <c r="H104" s="10"/>
      <c r="I104" s="16"/>
      <c r="J104" s="49"/>
      <c r="K104" s="47"/>
      <c r="L104" s="10"/>
      <c r="M104" s="16"/>
      <c r="N104" s="53"/>
      <c r="O104" s="54"/>
      <c r="P104" s="10"/>
      <c r="Q104" s="16"/>
      <c r="R104" s="53"/>
      <c r="S104" s="47"/>
      <c r="T104" s="10"/>
      <c r="U104" s="16"/>
      <c r="V104" s="53"/>
      <c r="W104" s="47"/>
      <c r="X104" s="10"/>
      <c r="Y104" s="16"/>
      <c r="Z104" s="53"/>
      <c r="AA104" s="47"/>
      <c r="AB104" s="10"/>
      <c r="AC104" s="19"/>
      <c r="AE104" s="180"/>
    </row>
    <row r="105" spans="1:31" x14ac:dyDescent="0.3">
      <c r="A105" s="180"/>
      <c r="B105" s="3"/>
      <c r="D105" s="3"/>
      <c r="E105" s="4"/>
      <c r="F105" s="39"/>
      <c r="G105" s="47"/>
      <c r="H105" s="10"/>
      <c r="I105" s="16"/>
      <c r="J105" s="49"/>
      <c r="K105" s="47"/>
      <c r="L105" s="10"/>
      <c r="M105" s="16"/>
      <c r="N105" s="53"/>
      <c r="O105" s="54"/>
      <c r="P105" s="10"/>
      <c r="Q105" s="16"/>
      <c r="R105" s="53"/>
      <c r="S105" s="47"/>
      <c r="T105" s="10"/>
      <c r="U105" s="16"/>
      <c r="V105" s="53"/>
      <c r="W105" s="47"/>
      <c r="X105" s="10"/>
      <c r="Y105" s="16"/>
      <c r="Z105" s="53"/>
      <c r="AA105" s="47"/>
      <c r="AB105" s="10"/>
      <c r="AC105" s="19"/>
      <c r="AE105" s="180"/>
    </row>
    <row r="106" spans="1:31" x14ac:dyDescent="0.3">
      <c r="A106" s="180"/>
      <c r="B106" s="3"/>
      <c r="D106" s="3"/>
      <c r="E106" s="4"/>
      <c r="F106" s="39"/>
      <c r="G106" s="47"/>
      <c r="H106" s="10"/>
      <c r="I106" s="16"/>
      <c r="J106" s="49"/>
      <c r="K106" s="47"/>
      <c r="L106" s="10"/>
      <c r="M106" s="16"/>
      <c r="N106" s="53"/>
      <c r="O106" s="54"/>
      <c r="P106" s="10"/>
      <c r="Q106" s="16"/>
      <c r="R106" s="53"/>
      <c r="S106" s="47"/>
      <c r="T106" s="10"/>
      <c r="U106" s="16"/>
      <c r="V106" s="53"/>
      <c r="W106" s="47"/>
      <c r="X106" s="10"/>
      <c r="Y106" s="16"/>
      <c r="Z106" s="53"/>
      <c r="AA106" s="47"/>
      <c r="AB106" s="10"/>
      <c r="AC106" s="19"/>
      <c r="AE106" s="180"/>
    </row>
    <row r="107" spans="1:31" x14ac:dyDescent="0.3">
      <c r="A107" s="180"/>
      <c r="B107" s="3"/>
      <c r="D107" s="3"/>
      <c r="E107" s="4"/>
      <c r="F107" s="39"/>
      <c r="G107" s="47"/>
      <c r="H107" s="10"/>
      <c r="I107" s="16"/>
      <c r="J107" s="49"/>
      <c r="K107" s="47"/>
      <c r="L107" s="10"/>
      <c r="M107" s="16"/>
      <c r="N107" s="53"/>
      <c r="O107" s="54"/>
      <c r="P107" s="10"/>
      <c r="Q107" s="16"/>
      <c r="R107" s="53"/>
      <c r="S107" s="47"/>
      <c r="T107" s="10"/>
      <c r="U107" s="16"/>
      <c r="V107" s="53"/>
      <c r="W107" s="47"/>
      <c r="X107" s="10"/>
      <c r="Y107" s="16"/>
      <c r="Z107" s="53"/>
      <c r="AA107" s="47"/>
      <c r="AB107" s="10"/>
      <c r="AC107" s="19"/>
      <c r="AE107" s="180"/>
    </row>
    <row r="108" spans="1:31" x14ac:dyDescent="0.3">
      <c r="A108" s="180"/>
      <c r="B108" s="3"/>
      <c r="D108" s="3"/>
      <c r="E108" s="4"/>
      <c r="F108" s="39"/>
      <c r="G108" s="47"/>
      <c r="H108" s="10"/>
      <c r="I108" s="16"/>
      <c r="J108" s="49"/>
      <c r="K108" s="47"/>
      <c r="L108" s="10"/>
      <c r="M108" s="16"/>
      <c r="N108" s="53"/>
      <c r="O108" s="54"/>
      <c r="P108" s="10"/>
      <c r="Q108" s="16"/>
      <c r="R108" s="53"/>
      <c r="S108" s="47"/>
      <c r="T108" s="10"/>
      <c r="U108" s="16"/>
      <c r="V108" s="53"/>
      <c r="W108" s="47"/>
      <c r="X108" s="10"/>
      <c r="Y108" s="16"/>
      <c r="Z108" s="53"/>
      <c r="AA108" s="47"/>
      <c r="AB108" s="10"/>
      <c r="AC108" s="19"/>
      <c r="AE108" s="180"/>
    </row>
    <row r="109" spans="1:31" x14ac:dyDescent="0.3">
      <c r="A109" s="180"/>
      <c r="B109" s="3"/>
      <c r="D109" s="3"/>
      <c r="E109" s="4"/>
      <c r="F109" s="39"/>
      <c r="G109" s="47"/>
      <c r="H109" s="10"/>
      <c r="I109" s="16"/>
      <c r="J109" s="49"/>
      <c r="K109" s="47"/>
      <c r="L109" s="10"/>
      <c r="M109" s="16"/>
      <c r="N109" s="53"/>
      <c r="O109" s="54"/>
      <c r="P109" s="10"/>
      <c r="Q109" s="16"/>
      <c r="R109" s="53"/>
      <c r="S109" s="47"/>
      <c r="T109" s="10"/>
      <c r="U109" s="16"/>
      <c r="V109" s="53"/>
      <c r="W109" s="47"/>
      <c r="X109" s="10"/>
      <c r="Y109" s="16"/>
      <c r="Z109" s="53"/>
      <c r="AA109" s="47"/>
      <c r="AB109" s="10"/>
      <c r="AC109" s="19"/>
      <c r="AE109" s="180"/>
    </row>
    <row r="110" spans="1:31" x14ac:dyDescent="0.3">
      <c r="A110" s="180"/>
      <c r="B110" s="3"/>
      <c r="D110" s="3"/>
      <c r="E110" s="4"/>
      <c r="F110" s="39"/>
      <c r="G110" s="47"/>
      <c r="H110" s="10"/>
      <c r="I110" s="16"/>
      <c r="J110" s="49"/>
      <c r="K110" s="47"/>
      <c r="L110" s="10"/>
      <c r="M110" s="16"/>
      <c r="N110" s="53"/>
      <c r="O110" s="54"/>
      <c r="P110" s="10"/>
      <c r="Q110" s="16"/>
      <c r="R110" s="53"/>
      <c r="S110" s="47"/>
      <c r="T110" s="10"/>
      <c r="U110" s="16"/>
      <c r="V110" s="53"/>
      <c r="W110" s="47"/>
      <c r="X110" s="10"/>
      <c r="Y110" s="16"/>
      <c r="Z110" s="53"/>
      <c r="AA110" s="47"/>
      <c r="AB110" s="10"/>
      <c r="AC110" s="19"/>
      <c r="AE110" s="180"/>
    </row>
    <row r="111" spans="1:31" x14ac:dyDescent="0.3">
      <c r="A111" s="180"/>
      <c r="B111" s="3"/>
      <c r="D111" s="3"/>
      <c r="E111" s="4"/>
      <c r="F111" s="39"/>
      <c r="G111" s="47"/>
      <c r="H111" s="10"/>
      <c r="I111" s="16"/>
      <c r="J111" s="49"/>
      <c r="K111" s="47"/>
      <c r="L111" s="10"/>
      <c r="M111" s="16"/>
      <c r="N111" s="53"/>
      <c r="O111" s="54"/>
      <c r="P111" s="10"/>
      <c r="Q111" s="16"/>
      <c r="R111" s="53"/>
      <c r="S111" s="47"/>
      <c r="T111" s="10"/>
      <c r="U111" s="16"/>
      <c r="V111" s="53"/>
      <c r="W111" s="47"/>
      <c r="X111" s="10"/>
      <c r="Y111" s="16"/>
      <c r="Z111" s="53"/>
      <c r="AA111" s="47"/>
      <c r="AB111" s="10"/>
      <c r="AC111" s="19"/>
      <c r="AE111" s="180"/>
    </row>
    <row r="112" spans="1:31" x14ac:dyDescent="0.3">
      <c r="A112" s="180"/>
      <c r="B112" s="3"/>
      <c r="D112" s="3"/>
      <c r="E112" s="4"/>
      <c r="F112" s="39"/>
      <c r="G112" s="47"/>
      <c r="H112" s="10"/>
      <c r="I112" s="16"/>
      <c r="J112" s="49"/>
      <c r="K112" s="47"/>
      <c r="L112" s="10"/>
      <c r="M112" s="16"/>
      <c r="N112" s="53"/>
      <c r="O112" s="54"/>
      <c r="P112" s="10"/>
      <c r="Q112" s="16"/>
      <c r="R112" s="53"/>
      <c r="S112" s="47"/>
      <c r="T112" s="10"/>
      <c r="U112" s="16"/>
      <c r="V112" s="53"/>
      <c r="W112" s="47"/>
      <c r="X112" s="10"/>
      <c r="Y112" s="16"/>
      <c r="Z112" s="53"/>
      <c r="AA112" s="47"/>
      <c r="AB112" s="10"/>
      <c r="AC112" s="19"/>
      <c r="AE112" s="180"/>
    </row>
    <row r="113" spans="1:43" x14ac:dyDescent="0.3">
      <c r="A113" s="180"/>
      <c r="B113" s="3"/>
      <c r="D113" s="3"/>
      <c r="E113" s="4"/>
      <c r="F113" s="39"/>
      <c r="G113" s="47"/>
      <c r="H113" s="10"/>
      <c r="I113" s="16"/>
      <c r="J113" s="49"/>
      <c r="K113" s="47"/>
      <c r="L113" s="10"/>
      <c r="M113" s="16"/>
      <c r="N113" s="53"/>
      <c r="O113" s="54"/>
      <c r="P113" s="10"/>
      <c r="Q113" s="16"/>
      <c r="R113" s="53"/>
      <c r="S113" s="47"/>
      <c r="T113" s="10"/>
      <c r="U113" s="16"/>
      <c r="V113" s="53"/>
      <c r="W113" s="47"/>
      <c r="X113" s="10"/>
      <c r="Y113" s="16"/>
      <c r="Z113" s="53"/>
      <c r="AA113" s="47"/>
      <c r="AB113" s="10"/>
      <c r="AC113" s="19"/>
      <c r="AE113" s="180"/>
    </row>
    <row r="114" spans="1:43" x14ac:dyDescent="0.3">
      <c r="A114" s="180"/>
      <c r="B114" s="3"/>
      <c r="D114" s="3"/>
      <c r="E114" s="4"/>
      <c r="F114" s="39"/>
      <c r="G114" s="47"/>
      <c r="H114" s="10"/>
      <c r="I114" s="16"/>
      <c r="J114" s="49"/>
      <c r="K114" s="47"/>
      <c r="L114" s="10"/>
      <c r="M114" s="16"/>
      <c r="N114" s="53"/>
      <c r="O114" s="54"/>
      <c r="P114" s="10"/>
      <c r="Q114" s="16"/>
      <c r="R114" s="53"/>
      <c r="S114" s="47"/>
      <c r="T114" s="10"/>
      <c r="U114" s="16"/>
      <c r="V114" s="53"/>
      <c r="W114" s="47"/>
      <c r="X114" s="10"/>
      <c r="Y114" s="16"/>
      <c r="Z114" s="53"/>
      <c r="AA114" s="47"/>
      <c r="AB114" s="10"/>
      <c r="AC114" s="19"/>
      <c r="AE114" s="180"/>
    </row>
    <row r="115" spans="1:43" x14ac:dyDescent="0.3">
      <c r="A115" s="180"/>
      <c r="B115" s="6"/>
      <c r="C115" s="6"/>
      <c r="D115" s="6"/>
      <c r="E115" s="5"/>
      <c r="F115" s="40"/>
      <c r="G115" s="41"/>
      <c r="H115" s="11"/>
      <c r="I115" s="17"/>
      <c r="J115" s="50"/>
      <c r="K115" s="41"/>
      <c r="L115" s="11"/>
      <c r="M115" s="17"/>
      <c r="N115" s="55"/>
      <c r="O115" s="56"/>
      <c r="P115" s="11"/>
      <c r="Q115" s="17"/>
      <c r="R115" s="55"/>
      <c r="S115" s="41"/>
      <c r="T115" s="10"/>
      <c r="U115" s="16"/>
      <c r="V115" s="53"/>
      <c r="W115" s="47"/>
      <c r="X115" s="10"/>
      <c r="Y115" s="16"/>
      <c r="Z115" s="53"/>
      <c r="AA115" s="47"/>
      <c r="AB115" s="10"/>
      <c r="AC115" s="19"/>
      <c r="AE115" s="180"/>
    </row>
    <row r="116" spans="1:43" x14ac:dyDescent="0.3">
      <c r="A116" s="180"/>
      <c r="F116" s="8"/>
      <c r="T116" s="10"/>
      <c r="U116" s="16"/>
      <c r="V116" s="53"/>
      <c r="W116" s="47"/>
      <c r="X116" s="10"/>
      <c r="Y116" s="16"/>
      <c r="Z116" s="53"/>
      <c r="AA116" s="47"/>
      <c r="AB116" s="10"/>
      <c r="AC116" s="19"/>
      <c r="AE116" s="180"/>
    </row>
    <row r="117" spans="1:43" x14ac:dyDescent="0.3">
      <c r="A117" s="18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S117" s="30"/>
      <c r="T117" s="10"/>
      <c r="U117" s="16"/>
      <c r="V117" s="53"/>
      <c r="W117" s="47"/>
      <c r="X117" s="10"/>
      <c r="Y117" s="16"/>
      <c r="Z117" s="53"/>
      <c r="AA117" s="47"/>
      <c r="AB117" s="10"/>
      <c r="AC117" s="19"/>
      <c r="AE117" s="180"/>
    </row>
    <row r="118" spans="1:43" x14ac:dyDescent="0.3">
      <c r="A118" s="180"/>
      <c r="T118" s="10"/>
      <c r="U118" s="16"/>
      <c r="V118" s="53"/>
      <c r="W118" s="47"/>
      <c r="X118" s="10"/>
      <c r="Y118" s="16"/>
      <c r="Z118" s="53"/>
      <c r="AA118" s="47"/>
      <c r="AB118" s="10"/>
      <c r="AC118" s="19"/>
      <c r="AE118" s="180"/>
    </row>
    <row r="119" spans="1:43" x14ac:dyDescent="0.3">
      <c r="A119" s="180"/>
      <c r="T119" s="11"/>
      <c r="U119" s="17"/>
      <c r="V119" s="55"/>
      <c r="W119" s="41"/>
      <c r="X119" s="11"/>
      <c r="Y119" s="17"/>
      <c r="Z119" s="55"/>
      <c r="AA119" s="41"/>
      <c r="AB119" s="11"/>
      <c r="AC119" s="20"/>
      <c r="AE119" s="180"/>
    </row>
    <row r="121" spans="1:43" x14ac:dyDescent="0.3">
      <c r="U121" s="30"/>
      <c r="W121" s="30"/>
      <c r="Y121" s="30"/>
      <c r="AA121" s="30"/>
      <c r="AC121" s="30"/>
    </row>
    <row r="122" spans="1:43" x14ac:dyDescent="0.3">
      <c r="A122" s="21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</row>
    <row r="123" spans="1:43" x14ac:dyDescent="0.3">
      <c r="A123" s="21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</row>
    <row r="124" spans="1:43" x14ac:dyDescent="0.3">
      <c r="A124" s="21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</row>
    <row r="125" spans="1:43" x14ac:dyDescent="0.3">
      <c r="A125" s="21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</row>
    <row r="126" spans="1:43" x14ac:dyDescent="0.3">
      <c r="A126" s="21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</row>
    <row r="127" spans="1:43" x14ac:dyDescent="0.3">
      <c r="A127" s="21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</row>
    <row r="128" spans="1:43" x14ac:dyDescent="0.3">
      <c r="A128" s="21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</row>
    <row r="129" spans="1:43" x14ac:dyDescent="0.3">
      <c r="A129" s="21"/>
      <c r="K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</row>
    <row r="130" spans="1:43" x14ac:dyDescent="0.3">
      <c r="A130" s="21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</row>
    <row r="131" spans="1:43" x14ac:dyDescent="0.3">
      <c r="A131" s="21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</row>
    <row r="132" spans="1:43" x14ac:dyDescent="0.3">
      <c r="A132" s="21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</row>
    <row r="133" spans="1:43" x14ac:dyDescent="0.3">
      <c r="A133" s="21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</row>
    <row r="134" spans="1:43" x14ac:dyDescent="0.3">
      <c r="A134" s="21"/>
    </row>
    <row r="135" spans="1:43" x14ac:dyDescent="0.3">
      <c r="A135" s="21"/>
    </row>
    <row r="136" spans="1:43" x14ac:dyDescent="0.3">
      <c r="A136" s="21"/>
    </row>
    <row r="137" spans="1:43" x14ac:dyDescent="0.3">
      <c r="A137" s="21"/>
    </row>
    <row r="138" spans="1:43" x14ac:dyDescent="0.3">
      <c r="A138" s="21"/>
    </row>
    <row r="139" spans="1:43" x14ac:dyDescent="0.3">
      <c r="A139" s="21"/>
    </row>
    <row r="140" spans="1:43" x14ac:dyDescent="0.3">
      <c r="A140" s="21"/>
    </row>
    <row r="141" spans="1:43" x14ac:dyDescent="0.3">
      <c r="A141" s="21"/>
    </row>
    <row r="142" spans="1:43" x14ac:dyDescent="0.3">
      <c r="A142" s="21"/>
    </row>
    <row r="143" spans="1:43" x14ac:dyDescent="0.3">
      <c r="A143" s="21"/>
    </row>
    <row r="144" spans="1:43" x14ac:dyDescent="0.3">
      <c r="A144" s="21"/>
    </row>
    <row r="145" spans="1:1" x14ac:dyDescent="0.3">
      <c r="A145" s="21"/>
    </row>
    <row r="146" spans="1:1" x14ac:dyDescent="0.3">
      <c r="A146" s="21"/>
    </row>
    <row r="147" spans="1:1" x14ac:dyDescent="0.3">
      <c r="A147" s="21"/>
    </row>
    <row r="148" spans="1:1" x14ac:dyDescent="0.3">
      <c r="A148" s="21"/>
    </row>
    <row r="149" spans="1:1" x14ac:dyDescent="0.3">
      <c r="A149" s="21"/>
    </row>
    <row r="150" spans="1:1" x14ac:dyDescent="0.3">
      <c r="A150" s="21"/>
    </row>
    <row r="151" spans="1:1" x14ac:dyDescent="0.3">
      <c r="A151" s="21"/>
    </row>
    <row r="152" spans="1:1" x14ac:dyDescent="0.3">
      <c r="A152" s="21"/>
    </row>
    <row r="153" spans="1:1" x14ac:dyDescent="0.3">
      <c r="A153" s="21"/>
    </row>
    <row r="154" spans="1:1" x14ac:dyDescent="0.3">
      <c r="A154" s="21"/>
    </row>
    <row r="155" spans="1:1" x14ac:dyDescent="0.3">
      <c r="A155" s="21"/>
    </row>
    <row r="156" spans="1:1" x14ac:dyDescent="0.3">
      <c r="A156" s="21"/>
    </row>
    <row r="157" spans="1:1" x14ac:dyDescent="0.3">
      <c r="A157" s="21"/>
    </row>
    <row r="158" spans="1:1" x14ac:dyDescent="0.3">
      <c r="A158" s="21"/>
    </row>
    <row r="159" spans="1:1" x14ac:dyDescent="0.3">
      <c r="A159" s="21"/>
    </row>
    <row r="160" spans="1:1" x14ac:dyDescent="0.3">
      <c r="A160" s="21"/>
    </row>
    <row r="161" spans="1:1" x14ac:dyDescent="0.3">
      <c r="A161" s="21"/>
    </row>
    <row r="162" spans="1:1" x14ac:dyDescent="0.3">
      <c r="A162" s="21"/>
    </row>
    <row r="163" spans="1:1" x14ac:dyDescent="0.3">
      <c r="A163" s="21"/>
    </row>
    <row r="164" spans="1:1" x14ac:dyDescent="0.3">
      <c r="A164" s="21"/>
    </row>
    <row r="165" spans="1:1" x14ac:dyDescent="0.3">
      <c r="A165" s="21"/>
    </row>
    <row r="166" spans="1:1" x14ac:dyDescent="0.3">
      <c r="A166" s="21"/>
    </row>
    <row r="167" spans="1:1" x14ac:dyDescent="0.3">
      <c r="A167" s="21"/>
    </row>
    <row r="168" spans="1:1" x14ac:dyDescent="0.3">
      <c r="A168" s="21"/>
    </row>
    <row r="169" spans="1:1" x14ac:dyDescent="0.3">
      <c r="A169" s="21"/>
    </row>
    <row r="170" spans="1:1" x14ac:dyDescent="0.3">
      <c r="A170" s="21"/>
    </row>
    <row r="171" spans="1:1" x14ac:dyDescent="0.3">
      <c r="A171" s="21"/>
    </row>
    <row r="172" spans="1:1" x14ac:dyDescent="0.3">
      <c r="A172" s="21"/>
    </row>
  </sheetData>
  <mergeCells count="31">
    <mergeCell ref="A4:A119"/>
    <mergeCell ref="Q4:Q5"/>
    <mergeCell ref="D4:D5"/>
    <mergeCell ref="AA4:AA5"/>
    <mergeCell ref="J4:J5"/>
    <mergeCell ref="G4:G5"/>
    <mergeCell ref="I4:I5"/>
    <mergeCell ref="K4:K5"/>
    <mergeCell ref="B4:B5"/>
    <mergeCell ref="F4:F5"/>
    <mergeCell ref="H4:H5"/>
    <mergeCell ref="R4:R5"/>
    <mergeCell ref="T4:T5"/>
    <mergeCell ref="C4:C5"/>
    <mergeCell ref="V4:V5"/>
    <mergeCell ref="E4:E5"/>
    <mergeCell ref="AG4:AN4"/>
    <mergeCell ref="AC4:AC5"/>
    <mergeCell ref="L4:L5"/>
    <mergeCell ref="AE4:AE119"/>
    <mergeCell ref="X4:X5"/>
    <mergeCell ref="Z4:Z5"/>
    <mergeCell ref="S4:S5"/>
    <mergeCell ref="U4:U5"/>
    <mergeCell ref="M4:M5"/>
    <mergeCell ref="W4:W5"/>
    <mergeCell ref="Y4:Y5"/>
    <mergeCell ref="N4:N5"/>
    <mergeCell ref="P4:P5"/>
    <mergeCell ref="AB4:AB5"/>
    <mergeCell ref="O4:O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71"/>
  <sheetViews>
    <sheetView tabSelected="1" topLeftCell="A63" zoomScale="90" workbookViewId="0">
      <pane xSplit="3" topLeftCell="D1" activePane="topRight" state="frozen"/>
      <selection pane="topRight" activeCell="F6" sqref="F6:G83"/>
    </sheetView>
  </sheetViews>
  <sheetFormatPr defaultColWidth="11" defaultRowHeight="15.6" x14ac:dyDescent="0.3"/>
  <cols>
    <col min="1" max="1" width="12.19921875" customWidth="1"/>
    <col min="2" max="2" width="36.69921875" customWidth="1"/>
    <col min="3" max="3" width="16.5" customWidth="1"/>
    <col min="4" max="4" width="17.8984375" customWidth="1"/>
    <col min="5" max="5" width="23.69921875" customWidth="1"/>
    <col min="6" max="6" width="12.09765625" bestFit="1" customWidth="1"/>
  </cols>
  <sheetData>
    <row r="1" spans="1:38" s="1" customFormat="1" ht="25.5" customHeight="1" x14ac:dyDescent="0.3">
      <c r="A1" s="195" t="s">
        <v>477</v>
      </c>
      <c r="B1" s="196"/>
      <c r="C1" s="105">
        <v>2024</v>
      </c>
      <c r="D1" s="105" t="s">
        <v>478</v>
      </c>
      <c r="F1" s="105" t="s">
        <v>479</v>
      </c>
    </row>
    <row r="3" spans="1:38" ht="16.2" customHeight="1" x14ac:dyDescent="0.3"/>
    <row r="4" spans="1:38" s="2" customFormat="1" ht="20.100000000000001" customHeight="1" x14ac:dyDescent="0.3">
      <c r="A4" s="229" t="s">
        <v>4</v>
      </c>
      <c r="B4" s="176" t="s">
        <v>5</v>
      </c>
      <c r="C4" s="176" t="s">
        <v>6</v>
      </c>
      <c r="D4" s="176" t="s">
        <v>7</v>
      </c>
      <c r="E4" s="199" t="s">
        <v>8</v>
      </c>
      <c r="F4" s="235" t="s">
        <v>326</v>
      </c>
      <c r="G4" s="242" t="s">
        <v>10</v>
      </c>
      <c r="H4" s="227" t="s">
        <v>11</v>
      </c>
      <c r="I4" s="227" t="s">
        <v>12</v>
      </c>
      <c r="J4" s="244" t="s">
        <v>13</v>
      </c>
      <c r="K4" s="242" t="s">
        <v>14</v>
      </c>
      <c r="L4" s="227" t="s">
        <v>15</v>
      </c>
      <c r="M4" s="227" t="s">
        <v>16</v>
      </c>
      <c r="N4" s="237" t="s">
        <v>17</v>
      </c>
      <c r="O4" s="233" t="s">
        <v>18</v>
      </c>
      <c r="P4" s="227" t="s">
        <v>19</v>
      </c>
      <c r="Q4" s="227" t="s">
        <v>20</v>
      </c>
      <c r="R4" s="237" t="s">
        <v>21</v>
      </c>
      <c r="S4" s="233" t="s">
        <v>22</v>
      </c>
      <c r="T4" s="227" t="s">
        <v>23</v>
      </c>
      <c r="U4" s="227" t="s">
        <v>24</v>
      </c>
      <c r="V4" s="237" t="s">
        <v>25</v>
      </c>
      <c r="W4" s="233" t="s">
        <v>26</v>
      </c>
      <c r="X4" s="227" t="s">
        <v>27</v>
      </c>
      <c r="Y4" s="227" t="s">
        <v>28</v>
      </c>
      <c r="Z4" s="237" t="s">
        <v>29</v>
      </c>
      <c r="AA4" s="233" t="s">
        <v>30</v>
      </c>
      <c r="AB4" s="227" t="s">
        <v>31</v>
      </c>
      <c r="AC4" s="239" t="s">
        <v>32</v>
      </c>
      <c r="AE4" s="241" t="s">
        <v>33</v>
      </c>
      <c r="AG4" s="230" t="s">
        <v>480</v>
      </c>
      <c r="AH4" s="231"/>
      <c r="AI4" s="231"/>
      <c r="AJ4" s="231"/>
      <c r="AK4" s="231"/>
      <c r="AL4" s="232"/>
    </row>
    <row r="5" spans="1:38" s="2" customFormat="1" ht="20.100000000000001" customHeight="1" x14ac:dyDescent="0.3">
      <c r="A5" s="179"/>
      <c r="B5" s="177"/>
      <c r="C5" s="177"/>
      <c r="D5" s="177"/>
      <c r="E5" s="189"/>
      <c r="F5" s="236"/>
      <c r="G5" s="243"/>
      <c r="H5" s="228"/>
      <c r="I5" s="228"/>
      <c r="J5" s="245"/>
      <c r="K5" s="243"/>
      <c r="L5" s="228"/>
      <c r="M5" s="228"/>
      <c r="N5" s="238"/>
      <c r="O5" s="234"/>
      <c r="P5" s="228"/>
      <c r="Q5" s="228"/>
      <c r="R5" s="238"/>
      <c r="S5" s="234"/>
      <c r="T5" s="228"/>
      <c r="U5" s="228"/>
      <c r="V5" s="238"/>
      <c r="W5" s="234"/>
      <c r="X5" s="228"/>
      <c r="Y5" s="228"/>
      <c r="Z5" s="238"/>
      <c r="AA5" s="234"/>
      <c r="AB5" s="228"/>
      <c r="AC5" s="240"/>
      <c r="AE5" s="179"/>
      <c r="AG5" s="22" t="s">
        <v>36</v>
      </c>
      <c r="AH5" s="27" t="s">
        <v>37</v>
      </c>
      <c r="AI5" s="28" t="s">
        <v>38</v>
      </c>
      <c r="AJ5" s="28" t="s">
        <v>39</v>
      </c>
      <c r="AK5" s="28" t="s">
        <v>40</v>
      </c>
      <c r="AL5" s="29" t="s">
        <v>394</v>
      </c>
    </row>
    <row r="6" spans="1:38" x14ac:dyDescent="0.3">
      <c r="A6" s="180"/>
      <c r="B6" s="3" t="s">
        <v>155</v>
      </c>
      <c r="C6" s="3" t="s">
        <v>156</v>
      </c>
      <c r="D6" s="3"/>
      <c r="E6" s="4"/>
      <c r="F6" s="66"/>
      <c r="G6" s="60"/>
      <c r="H6" s="10"/>
      <c r="I6" s="16"/>
      <c r="J6" s="64"/>
      <c r="K6" s="60"/>
      <c r="L6" s="10"/>
      <c r="M6" s="16"/>
      <c r="N6" s="66"/>
      <c r="O6" s="67"/>
      <c r="P6" s="10"/>
      <c r="Q6" s="16"/>
      <c r="R6" s="66"/>
      <c r="S6" s="60"/>
      <c r="T6" s="10"/>
      <c r="U6" s="16"/>
      <c r="V6" s="66"/>
      <c r="W6" s="60"/>
      <c r="X6" s="10"/>
      <c r="Y6" s="16"/>
      <c r="Z6" s="66"/>
      <c r="AA6" s="60"/>
      <c r="AB6" s="10"/>
      <c r="AC6" s="19"/>
      <c r="AE6" s="180"/>
      <c r="AG6" s="24" t="s">
        <v>404</v>
      </c>
      <c r="AH6" s="16">
        <f>SUM(G6:G118)</f>
        <v>0</v>
      </c>
      <c r="AI6" s="31">
        <f>SUM(F6:F118)</f>
        <v>0</v>
      </c>
      <c r="AJ6" s="7"/>
      <c r="AK6" s="7"/>
      <c r="AL6" s="23"/>
    </row>
    <row r="7" spans="1:38" x14ac:dyDescent="0.3">
      <c r="A7" s="180"/>
      <c r="B7" s="3" t="s">
        <v>204</v>
      </c>
      <c r="C7" s="3" t="s">
        <v>205</v>
      </c>
      <c r="D7" s="3"/>
      <c r="E7" s="4"/>
      <c r="F7" s="66"/>
      <c r="G7" s="60"/>
      <c r="H7" s="10"/>
      <c r="I7" s="16"/>
      <c r="J7" s="64"/>
      <c r="K7" s="60"/>
      <c r="L7" s="10"/>
      <c r="M7" s="16"/>
      <c r="N7" s="66"/>
      <c r="O7" s="67"/>
      <c r="P7" s="10"/>
      <c r="Q7" s="16"/>
      <c r="R7" s="66"/>
      <c r="S7" s="60"/>
      <c r="T7" s="10"/>
      <c r="U7" s="16"/>
      <c r="V7" s="66"/>
      <c r="W7" s="60"/>
      <c r="X7" s="10"/>
      <c r="Y7" s="16"/>
      <c r="Z7" s="66"/>
      <c r="AA7" s="60"/>
      <c r="AB7" s="10"/>
      <c r="AC7" s="19"/>
      <c r="AE7" s="180"/>
      <c r="AG7" s="25" t="s">
        <v>407</v>
      </c>
      <c r="AH7" s="16">
        <f>SUM(I6:I118)</f>
        <v>0</v>
      </c>
      <c r="AI7" s="32">
        <f>SUM(H6:H118)</f>
        <v>0</v>
      </c>
      <c r="AJ7" s="3"/>
      <c r="AK7" s="3"/>
      <c r="AL7" s="4"/>
    </row>
    <row r="8" spans="1:38" x14ac:dyDescent="0.3">
      <c r="A8" s="180"/>
      <c r="B8" s="3"/>
      <c r="C8" s="3"/>
      <c r="D8" s="3"/>
      <c r="E8" s="4"/>
      <c r="F8" s="66"/>
      <c r="G8" s="60"/>
      <c r="H8" s="10"/>
      <c r="I8" s="16"/>
      <c r="J8" s="64"/>
      <c r="K8" s="60"/>
      <c r="L8" s="10"/>
      <c r="M8" s="16"/>
      <c r="N8" s="66"/>
      <c r="O8" s="67"/>
      <c r="P8" s="10"/>
      <c r="Q8" s="16"/>
      <c r="R8" s="66"/>
      <c r="S8" s="60"/>
      <c r="T8" s="10"/>
      <c r="U8" s="16"/>
      <c r="V8" s="66"/>
      <c r="W8" s="60"/>
      <c r="X8" s="10"/>
      <c r="Y8" s="16"/>
      <c r="Z8" s="66"/>
      <c r="AA8" s="60"/>
      <c r="AB8" s="10"/>
      <c r="AC8" s="19"/>
      <c r="AE8" s="180"/>
      <c r="AG8" s="25" t="s">
        <v>409</v>
      </c>
      <c r="AH8" s="16">
        <f>SUM(K6:K118)</f>
        <v>0</v>
      </c>
      <c r="AI8" s="32">
        <f>SUM(J6:J118)</f>
        <v>0</v>
      </c>
      <c r="AJ8" s="3"/>
      <c r="AK8" s="3"/>
      <c r="AL8" s="4"/>
    </row>
    <row r="9" spans="1:38" x14ac:dyDescent="0.3">
      <c r="A9" s="180"/>
      <c r="B9" s="3" t="s">
        <v>45</v>
      </c>
      <c r="C9" s="3" t="s">
        <v>42</v>
      </c>
      <c r="D9" s="3"/>
      <c r="E9" s="4"/>
      <c r="F9" s="66"/>
      <c r="G9" s="60"/>
      <c r="H9" s="10"/>
      <c r="I9" s="16"/>
      <c r="J9" s="64"/>
      <c r="K9" s="60"/>
      <c r="L9" s="10"/>
      <c r="M9" s="16"/>
      <c r="N9" s="66"/>
      <c r="O9" s="67"/>
      <c r="P9" s="10"/>
      <c r="Q9" s="16"/>
      <c r="R9" s="66"/>
      <c r="S9" s="60"/>
      <c r="T9" s="10"/>
      <c r="U9" s="16"/>
      <c r="V9" s="66"/>
      <c r="W9" s="60"/>
      <c r="X9" s="10"/>
      <c r="Y9" s="16"/>
      <c r="Z9" s="66"/>
      <c r="AA9" s="60"/>
      <c r="AB9" s="10"/>
      <c r="AC9" s="19"/>
      <c r="AE9" s="180"/>
      <c r="AG9" s="25" t="s">
        <v>411</v>
      </c>
      <c r="AH9" s="16">
        <f>SUM(M6:M118)</f>
        <v>0</v>
      </c>
      <c r="AI9" s="32">
        <f>SUM(L6:L118)</f>
        <v>0</v>
      </c>
      <c r="AJ9" s="3"/>
      <c r="AK9" s="3"/>
      <c r="AL9" s="4"/>
    </row>
    <row r="10" spans="1:38" x14ac:dyDescent="0.3">
      <c r="A10" s="180"/>
      <c r="B10" s="3" t="s">
        <v>47</v>
      </c>
      <c r="C10" s="3" t="s">
        <v>42</v>
      </c>
      <c r="D10" s="3"/>
      <c r="E10" s="4"/>
      <c r="F10" s="66"/>
      <c r="G10" s="60"/>
      <c r="H10" s="10"/>
      <c r="I10" s="16"/>
      <c r="J10" s="64"/>
      <c r="K10" s="60"/>
      <c r="L10" s="10"/>
      <c r="M10" s="16"/>
      <c r="N10" s="66"/>
      <c r="O10" s="67"/>
      <c r="P10" s="10"/>
      <c r="Q10" s="16"/>
      <c r="R10" s="66"/>
      <c r="S10" s="60"/>
      <c r="T10" s="10"/>
      <c r="U10" s="16"/>
      <c r="V10" s="66"/>
      <c r="W10" s="60"/>
      <c r="X10" s="10"/>
      <c r="Y10" s="16"/>
      <c r="Z10" s="66"/>
      <c r="AA10" s="60"/>
      <c r="AB10" s="10"/>
      <c r="AC10" s="19"/>
      <c r="AE10" s="180"/>
      <c r="AG10" s="25" t="s">
        <v>66</v>
      </c>
      <c r="AH10" s="16">
        <f>SUM(O6:O118)</f>
        <v>0</v>
      </c>
      <c r="AI10" s="32">
        <f>SUM(N6:N118)</f>
        <v>0</v>
      </c>
      <c r="AJ10" s="3"/>
      <c r="AK10" s="3"/>
      <c r="AL10" s="4"/>
    </row>
    <row r="11" spans="1:38" x14ac:dyDescent="0.3">
      <c r="A11" s="180"/>
      <c r="B11" s="3" t="s">
        <v>49</v>
      </c>
      <c r="C11" s="3" t="s">
        <v>42</v>
      </c>
      <c r="D11" s="3"/>
      <c r="E11" s="4"/>
      <c r="F11" s="66"/>
      <c r="G11" s="60"/>
      <c r="H11" s="10"/>
      <c r="I11" s="16"/>
      <c r="J11" s="64"/>
      <c r="K11" s="60"/>
      <c r="L11" s="10"/>
      <c r="M11" s="16"/>
      <c r="N11" s="66"/>
      <c r="O11" s="67"/>
      <c r="P11" s="10"/>
      <c r="Q11" s="16"/>
      <c r="R11" s="66"/>
      <c r="S11" s="60"/>
      <c r="T11" s="10"/>
      <c r="U11" s="16"/>
      <c r="V11" s="66"/>
      <c r="W11" s="60"/>
      <c r="X11" s="10"/>
      <c r="Y11" s="16"/>
      <c r="Z11" s="66"/>
      <c r="AA11" s="60"/>
      <c r="AB11" s="10"/>
      <c r="AC11" s="19"/>
      <c r="AE11" s="180"/>
      <c r="AG11" s="25" t="s">
        <v>414</v>
      </c>
      <c r="AH11" s="16">
        <f>SUM(Q6:Q118)</f>
        <v>0</v>
      </c>
      <c r="AI11" s="32">
        <f>SUM(P6:P118)</f>
        <v>0</v>
      </c>
      <c r="AJ11" s="3"/>
      <c r="AK11" s="3"/>
      <c r="AL11" s="4"/>
    </row>
    <row r="12" spans="1:38" x14ac:dyDescent="0.3">
      <c r="A12" s="180"/>
      <c r="B12" s="3" t="s">
        <v>51</v>
      </c>
      <c r="C12" s="3" t="s">
        <v>42</v>
      </c>
      <c r="D12" s="3"/>
      <c r="E12" s="4"/>
      <c r="F12" s="66"/>
      <c r="G12" s="60"/>
      <c r="H12" s="10"/>
      <c r="I12" s="16"/>
      <c r="J12" s="64"/>
      <c r="K12" s="60"/>
      <c r="L12" s="10"/>
      <c r="M12" s="16"/>
      <c r="N12" s="66"/>
      <c r="O12" s="67"/>
      <c r="P12" s="10"/>
      <c r="Q12" s="16"/>
      <c r="R12" s="66"/>
      <c r="S12" s="60"/>
      <c r="T12" s="10"/>
      <c r="U12" s="16"/>
      <c r="V12" s="66"/>
      <c r="W12" s="60"/>
      <c r="X12" s="10"/>
      <c r="Y12" s="16"/>
      <c r="Z12" s="66"/>
      <c r="AA12" s="60"/>
      <c r="AB12" s="10"/>
      <c r="AC12" s="19"/>
      <c r="AE12" s="180"/>
      <c r="AG12" s="25" t="s">
        <v>396</v>
      </c>
      <c r="AH12" s="16">
        <f>SUM(S6:S118)</f>
        <v>0</v>
      </c>
      <c r="AI12" s="30">
        <f>SUM(R6:R118)</f>
        <v>0</v>
      </c>
      <c r="AJ12" s="3"/>
      <c r="AK12" s="3"/>
      <c r="AL12" s="4"/>
    </row>
    <row r="13" spans="1:38" x14ac:dyDescent="0.3">
      <c r="A13" s="180"/>
      <c r="B13" s="3" t="s">
        <v>53</v>
      </c>
      <c r="C13" s="3" t="s">
        <v>42</v>
      </c>
      <c r="D13" s="3"/>
      <c r="E13" s="4"/>
      <c r="F13" s="66"/>
      <c r="G13" s="60"/>
      <c r="H13" s="10"/>
      <c r="I13" s="16"/>
      <c r="J13" s="64"/>
      <c r="K13" s="60"/>
      <c r="L13" s="10"/>
      <c r="M13" s="16"/>
      <c r="N13" s="66"/>
      <c r="O13" s="67"/>
      <c r="P13" s="10"/>
      <c r="Q13" s="16"/>
      <c r="R13" s="66"/>
      <c r="S13" s="60"/>
      <c r="T13" s="10"/>
      <c r="U13" s="16"/>
      <c r="V13" s="66"/>
      <c r="W13" s="60"/>
      <c r="X13" s="10"/>
      <c r="Y13" s="16"/>
      <c r="Z13" s="66"/>
      <c r="AA13" s="60"/>
      <c r="AB13" s="10"/>
      <c r="AC13" s="19"/>
      <c r="AE13" s="180"/>
      <c r="AG13" s="25" t="s">
        <v>398</v>
      </c>
      <c r="AH13" s="16">
        <f>SUM(U6:U118)</f>
        <v>0</v>
      </c>
      <c r="AI13" s="30">
        <f>SUM(T6:T118)</f>
        <v>0</v>
      </c>
      <c r="AJ13" s="3"/>
      <c r="AK13" s="3"/>
      <c r="AL13" s="4"/>
    </row>
    <row r="14" spans="1:38" x14ac:dyDescent="0.3">
      <c r="A14" s="180"/>
      <c r="B14" s="3" t="s">
        <v>55</v>
      </c>
      <c r="C14" s="3" t="s">
        <v>42</v>
      </c>
      <c r="D14" s="3"/>
      <c r="E14" s="4"/>
      <c r="F14" s="66"/>
      <c r="G14" s="60"/>
      <c r="H14" s="10"/>
      <c r="I14" s="16"/>
      <c r="J14" s="64"/>
      <c r="K14" s="60"/>
      <c r="L14" s="10"/>
      <c r="M14" s="16"/>
      <c r="N14" s="66"/>
      <c r="O14" s="67"/>
      <c r="P14" s="10"/>
      <c r="Q14" s="16"/>
      <c r="R14" s="66"/>
      <c r="S14" s="60"/>
      <c r="T14" s="10"/>
      <c r="U14" s="16"/>
      <c r="V14" s="66"/>
      <c r="W14" s="60"/>
      <c r="X14" s="10"/>
      <c r="Y14" s="16"/>
      <c r="Z14" s="66"/>
      <c r="AA14" s="60"/>
      <c r="AB14" s="10"/>
      <c r="AC14" s="19"/>
      <c r="AE14" s="180"/>
      <c r="AG14" s="25" t="s">
        <v>399</v>
      </c>
      <c r="AH14" s="16">
        <f>SUM(W6:W118)</f>
        <v>0</v>
      </c>
      <c r="AI14" s="30">
        <f>SUM(V6:V118)</f>
        <v>0</v>
      </c>
      <c r="AJ14" s="3"/>
      <c r="AK14" s="3"/>
      <c r="AL14" s="4"/>
    </row>
    <row r="15" spans="1:38" x14ac:dyDescent="0.3">
      <c r="A15" s="180"/>
      <c r="B15" s="3" t="s">
        <v>57</v>
      </c>
      <c r="C15" s="3" t="s">
        <v>42</v>
      </c>
      <c r="D15" s="3"/>
      <c r="E15" s="4"/>
      <c r="F15" s="66"/>
      <c r="G15" s="60"/>
      <c r="H15" s="10"/>
      <c r="I15" s="16"/>
      <c r="J15" s="64"/>
      <c r="K15" s="60"/>
      <c r="L15" s="10"/>
      <c r="M15" s="16"/>
      <c r="N15" s="66"/>
      <c r="O15" s="67"/>
      <c r="P15" s="10"/>
      <c r="Q15" s="16"/>
      <c r="R15" s="66"/>
      <c r="S15" s="60"/>
      <c r="T15" s="10"/>
      <c r="U15" s="16"/>
      <c r="V15" s="66"/>
      <c r="W15" s="60"/>
      <c r="X15" s="10"/>
      <c r="Y15" s="16"/>
      <c r="Z15" s="66"/>
      <c r="AA15" s="60"/>
      <c r="AB15" s="10"/>
      <c r="AC15" s="19"/>
      <c r="AE15" s="180"/>
      <c r="AG15" s="25" t="s">
        <v>400</v>
      </c>
      <c r="AH15" s="16">
        <f>SUM(Y6:Y118)</f>
        <v>0</v>
      </c>
      <c r="AI15" s="30">
        <f>SUM(X6:X118)</f>
        <v>0</v>
      </c>
      <c r="AJ15" s="3"/>
      <c r="AK15" s="3"/>
      <c r="AL15" s="4"/>
    </row>
    <row r="16" spans="1:38" x14ac:dyDescent="0.3">
      <c r="A16" s="180"/>
      <c r="B16" s="3" t="s">
        <v>59</v>
      </c>
      <c r="C16" s="3" t="s">
        <v>42</v>
      </c>
      <c r="D16" s="3"/>
      <c r="E16" s="4"/>
      <c r="F16" s="66"/>
      <c r="G16" s="60"/>
      <c r="H16" s="10"/>
      <c r="I16" s="16"/>
      <c r="J16" s="64"/>
      <c r="K16" s="60"/>
      <c r="L16" s="10"/>
      <c r="M16" s="16"/>
      <c r="N16" s="66"/>
      <c r="O16" s="67"/>
      <c r="P16" s="10"/>
      <c r="Q16" s="16"/>
      <c r="R16" s="66"/>
      <c r="S16" s="60"/>
      <c r="T16" s="10"/>
      <c r="U16" s="16"/>
      <c r="V16" s="66"/>
      <c r="W16" s="60"/>
      <c r="X16" s="10"/>
      <c r="Y16" s="16"/>
      <c r="Z16" s="66"/>
      <c r="AA16" s="60"/>
      <c r="AB16" s="10"/>
      <c r="AC16" s="19"/>
      <c r="AE16" s="180"/>
      <c r="AG16" s="25" t="s">
        <v>402</v>
      </c>
      <c r="AH16" s="16">
        <f>SUM(AA6:AA118)</f>
        <v>0</v>
      </c>
      <c r="AI16" s="30">
        <f>SUM(Z6:Z118)</f>
        <v>0</v>
      </c>
      <c r="AJ16" s="3"/>
      <c r="AK16" s="3"/>
      <c r="AL16" s="4"/>
    </row>
    <row r="17" spans="1:38" ht="16.2" customHeight="1" thickBot="1" x14ac:dyDescent="0.35">
      <c r="A17" s="180"/>
      <c r="B17" s="3"/>
      <c r="C17" s="3"/>
      <c r="D17" s="3"/>
      <c r="E17" s="4"/>
      <c r="F17" s="66"/>
      <c r="G17" s="60"/>
      <c r="H17" s="10"/>
      <c r="I17" s="16"/>
      <c r="J17" s="64"/>
      <c r="K17" s="60"/>
      <c r="L17" s="10"/>
      <c r="M17" s="16"/>
      <c r="N17" s="66"/>
      <c r="O17" s="67"/>
      <c r="P17" s="10"/>
      <c r="Q17" s="16"/>
      <c r="R17" s="66"/>
      <c r="S17" s="60"/>
      <c r="T17" s="10"/>
      <c r="U17" s="16"/>
      <c r="V17" s="66"/>
      <c r="W17" s="60"/>
      <c r="X17" s="10"/>
      <c r="Y17" s="16"/>
      <c r="Z17" s="66"/>
      <c r="AA17" s="60"/>
      <c r="AB17" s="10"/>
      <c r="AC17" s="19"/>
      <c r="AE17" s="180"/>
      <c r="AG17" s="26" t="s">
        <v>403</v>
      </c>
      <c r="AH17" s="17">
        <f>SUM(AC6:AC118)</f>
        <v>0</v>
      </c>
      <c r="AI17" s="33">
        <f>SUM(AB6:AB118)</f>
        <v>0</v>
      </c>
      <c r="AJ17" s="6"/>
      <c r="AK17" s="6"/>
      <c r="AL17" s="5"/>
    </row>
    <row r="18" spans="1:38" x14ac:dyDescent="0.3">
      <c r="A18" s="180"/>
      <c r="B18" s="3" t="s">
        <v>61</v>
      </c>
      <c r="C18" s="3" t="s">
        <v>42</v>
      </c>
      <c r="D18" s="3"/>
      <c r="E18" s="4"/>
      <c r="F18" s="66"/>
      <c r="G18" s="60"/>
      <c r="H18" s="10"/>
      <c r="I18" s="16"/>
      <c r="J18" s="64"/>
      <c r="K18" s="60"/>
      <c r="L18" s="10"/>
      <c r="M18" s="16"/>
      <c r="N18" s="66"/>
      <c r="O18" s="67"/>
      <c r="P18" s="10"/>
      <c r="Q18" s="16"/>
      <c r="R18" s="66"/>
      <c r="S18" s="60"/>
      <c r="T18" s="10"/>
      <c r="U18" s="16"/>
      <c r="V18" s="66"/>
      <c r="W18" s="60"/>
      <c r="X18" s="10"/>
      <c r="Y18" s="16"/>
      <c r="Z18" s="66"/>
      <c r="AA18" s="60"/>
      <c r="AB18" s="10"/>
      <c r="AC18" s="19"/>
      <c r="AE18" s="180"/>
    </row>
    <row r="19" spans="1:38" x14ac:dyDescent="0.3">
      <c r="A19" s="180"/>
      <c r="B19" s="3" t="s">
        <v>63</v>
      </c>
      <c r="C19" s="3" t="s">
        <v>42</v>
      </c>
      <c r="D19" s="3"/>
      <c r="E19" s="4"/>
      <c r="F19" s="66"/>
      <c r="G19" s="60"/>
      <c r="H19" s="10"/>
      <c r="I19" s="16"/>
      <c r="J19" s="64"/>
      <c r="K19" s="60"/>
      <c r="L19" s="10"/>
      <c r="M19" s="16"/>
      <c r="N19" s="66"/>
      <c r="O19" s="67"/>
      <c r="P19" s="10"/>
      <c r="Q19" s="16"/>
      <c r="R19" s="66"/>
      <c r="S19" s="60"/>
      <c r="T19" s="10"/>
      <c r="U19" s="16"/>
      <c r="V19" s="66"/>
      <c r="W19" s="60"/>
      <c r="X19" s="10"/>
      <c r="Y19" s="16"/>
      <c r="Z19" s="66"/>
      <c r="AA19" s="60"/>
      <c r="AB19" s="10"/>
      <c r="AC19" s="19"/>
      <c r="AE19" s="180"/>
    </row>
    <row r="20" spans="1:38" x14ac:dyDescent="0.3">
      <c r="A20" s="180"/>
      <c r="B20" s="3" t="s">
        <v>65</v>
      </c>
      <c r="C20" s="3" t="s">
        <v>42</v>
      </c>
      <c r="D20" s="3"/>
      <c r="E20" s="4"/>
      <c r="F20" s="66"/>
      <c r="G20" s="60"/>
      <c r="H20" s="10"/>
      <c r="I20" s="16"/>
      <c r="J20" s="64"/>
      <c r="K20" s="60"/>
      <c r="L20" s="10"/>
      <c r="M20" s="16"/>
      <c r="N20" s="66"/>
      <c r="O20" s="67"/>
      <c r="P20" s="10"/>
      <c r="Q20" s="16"/>
      <c r="R20" s="66"/>
      <c r="S20" s="60"/>
      <c r="T20" s="10"/>
      <c r="U20" s="16"/>
      <c r="V20" s="66"/>
      <c r="W20" s="60"/>
      <c r="X20" s="10"/>
      <c r="Y20" s="16"/>
      <c r="Z20" s="66"/>
      <c r="AA20" s="60"/>
      <c r="AB20" s="10"/>
      <c r="AC20" s="19"/>
      <c r="AE20" s="180"/>
    </row>
    <row r="21" spans="1:38" x14ac:dyDescent="0.3">
      <c r="A21" s="180"/>
      <c r="B21" s="3" t="s">
        <v>67</v>
      </c>
      <c r="C21" s="3" t="s">
        <v>42</v>
      </c>
      <c r="D21" s="3"/>
      <c r="E21" s="4"/>
      <c r="F21" s="66"/>
      <c r="G21" s="60"/>
      <c r="H21" s="10"/>
      <c r="I21" s="16"/>
      <c r="J21" s="64"/>
      <c r="K21" s="60"/>
      <c r="L21" s="10"/>
      <c r="M21" s="16"/>
      <c r="N21" s="66"/>
      <c r="O21" s="67"/>
      <c r="P21" s="10"/>
      <c r="Q21" s="16"/>
      <c r="R21" s="66"/>
      <c r="S21" s="60"/>
      <c r="T21" s="10"/>
      <c r="U21" s="16"/>
      <c r="V21" s="66"/>
      <c r="W21" s="60"/>
      <c r="X21" s="10"/>
      <c r="Y21" s="16"/>
      <c r="Z21" s="66"/>
      <c r="AA21" s="60"/>
      <c r="AB21" s="10"/>
      <c r="AC21" s="19"/>
      <c r="AE21" s="180"/>
    </row>
    <row r="22" spans="1:38" x14ac:dyDescent="0.3">
      <c r="A22" s="180"/>
      <c r="B22" s="3" t="s">
        <v>69</v>
      </c>
      <c r="C22" s="3" t="s">
        <v>42</v>
      </c>
      <c r="D22" s="3"/>
      <c r="E22" s="4"/>
      <c r="F22" s="66"/>
      <c r="G22" s="60"/>
      <c r="H22" s="10"/>
      <c r="I22" s="16"/>
      <c r="J22" s="64"/>
      <c r="K22" s="60"/>
      <c r="L22" s="10"/>
      <c r="M22" s="16"/>
      <c r="N22" s="66"/>
      <c r="O22" s="67"/>
      <c r="P22" s="10"/>
      <c r="Q22" s="16"/>
      <c r="R22" s="66"/>
      <c r="S22" s="60"/>
      <c r="T22" s="10"/>
      <c r="U22" s="16"/>
      <c r="V22" s="66"/>
      <c r="W22" s="60"/>
      <c r="X22" s="10"/>
      <c r="Y22" s="16"/>
      <c r="Z22" s="66"/>
      <c r="AA22" s="60"/>
      <c r="AB22" s="10"/>
      <c r="AC22" s="19"/>
      <c r="AE22" s="180"/>
    </row>
    <row r="23" spans="1:38" x14ac:dyDescent="0.3">
      <c r="A23" s="180"/>
      <c r="B23" s="3" t="s">
        <v>70</v>
      </c>
      <c r="C23" s="3" t="s">
        <v>42</v>
      </c>
      <c r="D23" s="3"/>
      <c r="E23" s="4"/>
      <c r="F23" s="66"/>
      <c r="G23" s="60"/>
      <c r="H23" s="10"/>
      <c r="I23" s="16"/>
      <c r="J23" s="64"/>
      <c r="K23" s="60"/>
      <c r="L23" s="10"/>
      <c r="M23" s="16"/>
      <c r="N23" s="66"/>
      <c r="O23" s="67"/>
      <c r="P23" s="10"/>
      <c r="Q23" s="16"/>
      <c r="R23" s="66"/>
      <c r="S23" s="60"/>
      <c r="T23" s="10"/>
      <c r="U23" s="16"/>
      <c r="V23" s="66"/>
      <c r="W23" s="60"/>
      <c r="X23" s="10"/>
      <c r="Y23" s="16"/>
      <c r="Z23" s="66"/>
      <c r="AA23" s="60"/>
      <c r="AB23" s="10"/>
      <c r="AC23" s="19"/>
      <c r="AE23" s="180"/>
    </row>
    <row r="24" spans="1:38" x14ac:dyDescent="0.3">
      <c r="A24" s="180"/>
      <c r="B24" s="3" t="s">
        <v>71</v>
      </c>
      <c r="C24" s="3" t="s">
        <v>42</v>
      </c>
      <c r="D24" s="3"/>
      <c r="E24" s="4"/>
      <c r="F24" s="66"/>
      <c r="G24" s="60"/>
      <c r="H24" s="10"/>
      <c r="I24" s="16"/>
      <c r="J24" s="64"/>
      <c r="K24" s="60"/>
      <c r="L24" s="10"/>
      <c r="M24" s="16"/>
      <c r="N24" s="66"/>
      <c r="O24" s="67"/>
      <c r="P24" s="10"/>
      <c r="Q24" s="16"/>
      <c r="R24" s="66"/>
      <c r="S24" s="60"/>
      <c r="T24" s="10"/>
      <c r="U24" s="16"/>
      <c r="V24" s="66"/>
      <c r="W24" s="60"/>
      <c r="X24" s="10"/>
      <c r="Y24" s="16"/>
      <c r="Z24" s="66"/>
      <c r="AA24" s="60"/>
      <c r="AB24" s="10"/>
      <c r="AC24" s="19"/>
      <c r="AE24" s="180"/>
    </row>
    <row r="25" spans="1:38" x14ac:dyDescent="0.3">
      <c r="A25" s="180"/>
      <c r="B25" s="3" t="s">
        <v>72</v>
      </c>
      <c r="C25" s="3" t="s">
        <v>42</v>
      </c>
      <c r="D25" s="3"/>
      <c r="E25" s="4"/>
      <c r="F25" s="66"/>
      <c r="G25" s="60"/>
      <c r="H25" s="10"/>
      <c r="I25" s="16"/>
      <c r="J25" s="64"/>
      <c r="K25" s="60"/>
      <c r="L25" s="10"/>
      <c r="M25" s="16"/>
      <c r="N25" s="66"/>
      <c r="O25" s="67"/>
      <c r="P25" s="10"/>
      <c r="Q25" s="16"/>
      <c r="R25" s="66"/>
      <c r="S25" s="60"/>
      <c r="T25" s="10"/>
      <c r="U25" s="16"/>
      <c r="V25" s="66"/>
      <c r="W25" s="60"/>
      <c r="X25" s="10"/>
      <c r="Y25" s="16"/>
      <c r="Z25" s="66"/>
      <c r="AA25" s="60"/>
      <c r="AB25" s="10"/>
      <c r="AC25" s="19"/>
      <c r="AE25" s="180"/>
    </row>
    <row r="26" spans="1:38" x14ac:dyDescent="0.3">
      <c r="A26" s="180"/>
      <c r="B26" s="3" t="s">
        <v>73</v>
      </c>
      <c r="C26" s="3" t="s">
        <v>42</v>
      </c>
      <c r="D26" s="3"/>
      <c r="E26" s="4"/>
      <c r="F26" s="66"/>
      <c r="G26" s="60"/>
      <c r="H26" s="10"/>
      <c r="I26" s="16"/>
      <c r="J26" s="64"/>
      <c r="K26" s="60"/>
      <c r="L26" s="10"/>
      <c r="M26" s="16"/>
      <c r="N26" s="66"/>
      <c r="O26" s="67"/>
      <c r="P26" s="10"/>
      <c r="Q26" s="16"/>
      <c r="R26" s="66"/>
      <c r="S26" s="60"/>
      <c r="T26" s="10"/>
      <c r="U26" s="16"/>
      <c r="V26" s="66"/>
      <c r="W26" s="60"/>
      <c r="X26" s="10"/>
      <c r="Y26" s="16"/>
      <c r="Z26" s="66"/>
      <c r="AA26" s="60"/>
      <c r="AB26" s="10"/>
      <c r="AC26" s="19"/>
      <c r="AE26" s="180"/>
    </row>
    <row r="27" spans="1:38" x14ac:dyDescent="0.3">
      <c r="A27" s="180"/>
      <c r="B27" s="3" t="s">
        <v>74</v>
      </c>
      <c r="C27" s="3" t="s">
        <v>42</v>
      </c>
      <c r="D27" s="3"/>
      <c r="E27" s="4"/>
      <c r="F27" s="66"/>
      <c r="G27" s="60"/>
      <c r="H27" s="10"/>
      <c r="I27" s="16"/>
      <c r="J27" s="64"/>
      <c r="K27" s="60"/>
      <c r="L27" s="10"/>
      <c r="M27" s="16"/>
      <c r="N27" s="66"/>
      <c r="O27" s="67"/>
      <c r="P27" s="10"/>
      <c r="Q27" s="16"/>
      <c r="R27" s="66"/>
      <c r="S27" s="60"/>
      <c r="T27" s="10"/>
      <c r="U27" s="16"/>
      <c r="V27" s="66"/>
      <c r="W27" s="60"/>
      <c r="X27" s="10"/>
      <c r="Y27" s="16"/>
      <c r="Z27" s="66"/>
      <c r="AA27" s="60"/>
      <c r="AB27" s="10"/>
      <c r="AC27" s="19"/>
      <c r="AE27" s="180"/>
    </row>
    <row r="28" spans="1:38" x14ac:dyDescent="0.3">
      <c r="A28" s="180"/>
      <c r="B28" s="3" t="s">
        <v>75</v>
      </c>
      <c r="C28" s="3" t="s">
        <v>42</v>
      </c>
      <c r="D28" s="3"/>
      <c r="E28" s="4"/>
      <c r="F28" s="66"/>
      <c r="G28" s="60"/>
      <c r="H28" s="10"/>
      <c r="I28" s="16"/>
      <c r="J28" s="64"/>
      <c r="K28" s="60"/>
      <c r="L28" s="10"/>
      <c r="M28" s="16"/>
      <c r="N28" s="66"/>
      <c r="O28" s="67"/>
      <c r="P28" s="10"/>
      <c r="Q28" s="16"/>
      <c r="R28" s="66"/>
      <c r="S28" s="60"/>
      <c r="T28" s="10"/>
      <c r="U28" s="16"/>
      <c r="V28" s="66"/>
      <c r="W28" s="60"/>
      <c r="X28" s="10"/>
      <c r="Y28" s="16"/>
      <c r="Z28" s="66"/>
      <c r="AA28" s="60"/>
      <c r="AB28" s="10"/>
      <c r="AC28" s="19"/>
      <c r="AE28" s="180"/>
    </row>
    <row r="29" spans="1:38" x14ac:dyDescent="0.3">
      <c r="A29" s="180"/>
      <c r="B29" s="3" t="s">
        <v>76</v>
      </c>
      <c r="C29" s="3" t="s">
        <v>42</v>
      </c>
      <c r="D29" s="3"/>
      <c r="E29" s="4"/>
      <c r="F29" s="66"/>
      <c r="G29" s="60"/>
      <c r="H29" s="10"/>
      <c r="I29" s="16"/>
      <c r="J29" s="64"/>
      <c r="K29" s="60"/>
      <c r="L29" s="10"/>
      <c r="M29" s="16"/>
      <c r="N29" s="66"/>
      <c r="O29" s="67"/>
      <c r="P29" s="10"/>
      <c r="Q29" s="16"/>
      <c r="R29" s="66"/>
      <c r="S29" s="60"/>
      <c r="T29" s="10"/>
      <c r="U29" s="16"/>
      <c r="V29" s="66"/>
      <c r="W29" s="60"/>
      <c r="X29" s="10"/>
      <c r="Y29" s="16"/>
      <c r="Z29" s="66"/>
      <c r="AA29" s="60"/>
      <c r="AB29" s="10"/>
      <c r="AC29" s="19"/>
      <c r="AE29" s="180"/>
    </row>
    <row r="30" spans="1:38" x14ac:dyDescent="0.3">
      <c r="A30" s="180"/>
      <c r="B30" s="3"/>
      <c r="C30" s="3"/>
      <c r="D30" s="3"/>
      <c r="E30" s="4"/>
      <c r="F30" s="66"/>
      <c r="G30" s="60"/>
      <c r="H30" s="10"/>
      <c r="I30" s="16"/>
      <c r="J30" s="64"/>
      <c r="K30" s="60"/>
      <c r="L30" s="10"/>
      <c r="M30" s="16"/>
      <c r="N30" s="66"/>
      <c r="O30" s="67"/>
      <c r="P30" s="10"/>
      <c r="Q30" s="16"/>
      <c r="R30" s="66"/>
      <c r="S30" s="60"/>
      <c r="T30" s="10"/>
      <c r="U30" s="16"/>
      <c r="V30" s="66"/>
      <c r="W30" s="60"/>
      <c r="X30" s="10"/>
      <c r="Y30" s="16"/>
      <c r="Z30" s="66"/>
      <c r="AA30" s="60"/>
      <c r="AB30" s="10"/>
      <c r="AC30" s="19"/>
      <c r="AE30" s="180"/>
    </row>
    <row r="31" spans="1:38" x14ac:dyDescent="0.3">
      <c r="A31" s="180"/>
      <c r="B31" s="3" t="s">
        <v>201</v>
      </c>
      <c r="C31" s="3" t="s">
        <v>366</v>
      </c>
      <c r="D31" s="3"/>
      <c r="E31" s="4"/>
      <c r="F31" s="66"/>
      <c r="G31" s="60"/>
      <c r="H31" s="10"/>
      <c r="I31" s="16"/>
      <c r="J31" s="64"/>
      <c r="K31" s="60"/>
      <c r="L31" s="10"/>
      <c r="M31" s="16"/>
      <c r="N31" s="66"/>
      <c r="O31" s="67"/>
      <c r="P31" s="10"/>
      <c r="Q31" s="16"/>
      <c r="R31" s="66"/>
      <c r="S31" s="60"/>
      <c r="T31" s="10"/>
      <c r="U31" s="16"/>
      <c r="V31" s="66"/>
      <c r="W31" s="60"/>
      <c r="X31" s="10"/>
      <c r="Y31" s="16"/>
      <c r="Z31" s="66"/>
      <c r="AA31" s="60"/>
      <c r="AB31" s="10"/>
      <c r="AC31" s="19"/>
      <c r="AE31" s="180"/>
    </row>
    <row r="32" spans="1:38" x14ac:dyDescent="0.3">
      <c r="A32" s="180"/>
      <c r="B32" s="3" t="s">
        <v>201</v>
      </c>
      <c r="C32" s="3" t="s">
        <v>202</v>
      </c>
      <c r="D32" s="3"/>
      <c r="E32" s="4"/>
      <c r="F32" s="66"/>
      <c r="G32" s="60"/>
      <c r="H32" s="10"/>
      <c r="I32" s="16"/>
      <c r="J32" s="64"/>
      <c r="K32" s="60"/>
      <c r="L32" s="10"/>
      <c r="M32" s="16"/>
      <c r="N32" s="66"/>
      <c r="O32" s="67"/>
      <c r="P32" s="10"/>
      <c r="Q32" s="16"/>
      <c r="R32" s="66"/>
      <c r="S32" s="60"/>
      <c r="T32" s="10"/>
      <c r="U32" s="16"/>
      <c r="V32" s="66"/>
      <c r="W32" s="60"/>
      <c r="X32" s="10"/>
      <c r="Y32" s="16"/>
      <c r="Z32" s="66"/>
      <c r="AA32" s="60"/>
      <c r="AB32" s="10"/>
      <c r="AC32" s="19"/>
      <c r="AE32" s="180"/>
    </row>
    <row r="33" spans="1:31" x14ac:dyDescent="0.3">
      <c r="A33" s="180"/>
      <c r="B33" s="3" t="s">
        <v>77</v>
      </c>
      <c r="C33" s="3" t="s">
        <v>78</v>
      </c>
      <c r="D33" s="3"/>
      <c r="E33" s="4"/>
      <c r="F33" s="66"/>
      <c r="G33" s="60"/>
      <c r="H33" s="10"/>
      <c r="I33" s="16"/>
      <c r="J33" s="64"/>
      <c r="K33" s="60"/>
      <c r="L33" s="10"/>
      <c r="M33" s="16"/>
      <c r="N33" s="66"/>
      <c r="O33" s="67"/>
      <c r="P33" s="10"/>
      <c r="Q33" s="16"/>
      <c r="R33" s="66"/>
      <c r="S33" s="60"/>
      <c r="T33" s="10"/>
      <c r="U33" s="16"/>
      <c r="V33" s="66"/>
      <c r="W33" s="60"/>
      <c r="X33" s="10"/>
      <c r="Y33" s="16"/>
      <c r="Z33" s="66"/>
      <c r="AA33" s="60"/>
      <c r="AB33" s="10"/>
      <c r="AC33" s="19"/>
      <c r="AE33" s="180"/>
    </row>
    <row r="34" spans="1:31" x14ac:dyDescent="0.3">
      <c r="A34" s="180"/>
      <c r="B34" s="3" t="s">
        <v>79</v>
      </c>
      <c r="C34" s="3" t="s">
        <v>80</v>
      </c>
      <c r="D34" s="3"/>
      <c r="E34" s="4"/>
      <c r="F34" s="66"/>
      <c r="G34" s="60"/>
      <c r="H34" s="10"/>
      <c r="I34" s="16"/>
      <c r="J34" s="64"/>
      <c r="K34" s="60"/>
      <c r="L34" s="10"/>
      <c r="M34" s="16"/>
      <c r="N34" s="66"/>
      <c r="O34" s="67"/>
      <c r="P34" s="10"/>
      <c r="Q34" s="16"/>
      <c r="R34" s="66"/>
      <c r="S34" s="60"/>
      <c r="T34" s="10"/>
      <c r="U34" s="16"/>
      <c r="V34" s="66"/>
      <c r="W34" s="60"/>
      <c r="X34" s="10"/>
      <c r="Y34" s="16"/>
      <c r="Z34" s="66"/>
      <c r="AA34" s="60"/>
      <c r="AB34" s="10"/>
      <c r="AC34" s="19"/>
      <c r="AE34" s="180"/>
    </row>
    <row r="35" spans="1:31" x14ac:dyDescent="0.3">
      <c r="A35" s="180"/>
      <c r="B35" s="3" t="s">
        <v>82</v>
      </c>
      <c r="C35" s="3" t="s">
        <v>83</v>
      </c>
      <c r="D35" s="3"/>
      <c r="E35" s="4"/>
      <c r="F35" s="66"/>
      <c r="G35" s="60"/>
      <c r="H35" s="10"/>
      <c r="I35" s="16"/>
      <c r="J35" s="64"/>
      <c r="K35" s="60"/>
      <c r="L35" s="10"/>
      <c r="M35" s="16"/>
      <c r="N35" s="66"/>
      <c r="O35" s="67"/>
      <c r="P35" s="10"/>
      <c r="Q35" s="16"/>
      <c r="R35" s="66"/>
      <c r="S35" s="60"/>
      <c r="T35" s="10"/>
      <c r="U35" s="16"/>
      <c r="V35" s="66"/>
      <c r="W35" s="60"/>
      <c r="X35" s="10"/>
      <c r="Y35" s="16"/>
      <c r="Z35" s="66"/>
      <c r="AA35" s="60"/>
      <c r="AB35" s="10"/>
      <c r="AC35" s="19"/>
      <c r="AE35" s="180"/>
    </row>
    <row r="36" spans="1:31" x14ac:dyDescent="0.3">
      <c r="A36" s="180"/>
      <c r="B36" s="3" t="s">
        <v>195</v>
      </c>
      <c r="C36" s="3" t="s">
        <v>196</v>
      </c>
      <c r="D36" s="3"/>
      <c r="E36" s="4"/>
      <c r="F36" s="66"/>
      <c r="G36" s="60"/>
      <c r="H36" s="10"/>
      <c r="I36" s="16"/>
      <c r="J36" s="64"/>
      <c r="K36" s="60"/>
      <c r="L36" s="10"/>
      <c r="M36" s="16"/>
      <c r="N36" s="66"/>
      <c r="O36" s="67"/>
      <c r="P36" s="10"/>
      <c r="Q36" s="16"/>
      <c r="R36" s="66"/>
      <c r="S36" s="60"/>
      <c r="T36" s="10"/>
      <c r="U36" s="16"/>
      <c r="V36" s="66"/>
      <c r="W36" s="60"/>
      <c r="X36" s="10"/>
      <c r="Y36" s="16"/>
      <c r="Z36" s="66"/>
      <c r="AA36" s="60"/>
      <c r="AB36" s="10"/>
      <c r="AC36" s="19"/>
      <c r="AE36" s="180"/>
    </row>
    <row r="37" spans="1:31" x14ac:dyDescent="0.3">
      <c r="A37" s="180"/>
      <c r="B37" s="3" t="s">
        <v>85</v>
      </c>
      <c r="C37" s="3" t="s">
        <v>86</v>
      </c>
      <c r="D37" s="3"/>
      <c r="E37" s="4"/>
      <c r="F37" s="66"/>
      <c r="G37" s="60"/>
      <c r="H37" s="10"/>
      <c r="I37" s="16"/>
      <c r="J37" s="64"/>
      <c r="K37" s="60"/>
      <c r="L37" s="10"/>
      <c r="M37" s="16"/>
      <c r="N37" s="66"/>
      <c r="O37" s="67"/>
      <c r="P37" s="10"/>
      <c r="Q37" s="16"/>
      <c r="R37" s="66"/>
      <c r="S37" s="60"/>
      <c r="T37" s="10"/>
      <c r="U37" s="16"/>
      <c r="V37" s="66"/>
      <c r="W37" s="60"/>
      <c r="X37" s="10"/>
      <c r="Y37" s="16"/>
      <c r="Z37" s="66"/>
      <c r="AA37" s="60"/>
      <c r="AB37" s="10"/>
      <c r="AC37" s="19"/>
      <c r="AE37" s="180"/>
    </row>
    <row r="38" spans="1:31" x14ac:dyDescent="0.3">
      <c r="A38" s="180"/>
      <c r="B38" s="3" t="s">
        <v>87</v>
      </c>
      <c r="C38" s="3" t="s">
        <v>88</v>
      </c>
      <c r="D38" s="3"/>
      <c r="E38" s="4"/>
      <c r="F38" s="66"/>
      <c r="G38" s="60"/>
      <c r="H38" s="10"/>
      <c r="I38" s="16"/>
      <c r="J38" s="64"/>
      <c r="K38" s="60"/>
      <c r="L38" s="10"/>
      <c r="M38" s="16"/>
      <c r="N38" s="66"/>
      <c r="O38" s="67"/>
      <c r="P38" s="10"/>
      <c r="Q38" s="16"/>
      <c r="R38" s="66"/>
      <c r="S38" s="60"/>
      <c r="T38" s="10"/>
      <c r="U38" s="16"/>
      <c r="V38" s="66"/>
      <c r="W38" s="60"/>
      <c r="X38" s="10"/>
      <c r="Y38" s="16"/>
      <c r="Z38" s="66"/>
      <c r="AA38" s="60"/>
      <c r="AB38" s="10"/>
      <c r="AC38" s="19"/>
      <c r="AE38" s="180"/>
    </row>
    <row r="39" spans="1:31" x14ac:dyDescent="0.3">
      <c r="A39" s="180"/>
      <c r="B39" s="3" t="s">
        <v>190</v>
      </c>
      <c r="C39" s="3" t="s">
        <v>191</v>
      </c>
      <c r="D39" s="3"/>
      <c r="E39" s="4"/>
      <c r="F39" s="66"/>
      <c r="G39" s="60"/>
      <c r="H39" s="10"/>
      <c r="I39" s="16"/>
      <c r="J39" s="64"/>
      <c r="K39" s="60"/>
      <c r="L39" s="10"/>
      <c r="M39" s="16"/>
      <c r="N39" s="66"/>
      <c r="O39" s="67"/>
      <c r="P39" s="10"/>
      <c r="Q39" s="16"/>
      <c r="R39" s="66"/>
      <c r="S39" s="60"/>
      <c r="T39" s="10"/>
      <c r="U39" s="16"/>
      <c r="V39" s="66"/>
      <c r="W39" s="60"/>
      <c r="X39" s="10"/>
      <c r="Y39" s="16"/>
      <c r="Z39" s="66"/>
      <c r="AA39" s="60"/>
      <c r="AB39" s="10"/>
      <c r="AC39" s="19"/>
      <c r="AE39" s="180"/>
    </row>
    <row r="40" spans="1:31" x14ac:dyDescent="0.3">
      <c r="A40" s="180"/>
      <c r="B40" s="3" t="s">
        <v>89</v>
      </c>
      <c r="C40" s="3" t="s">
        <v>90</v>
      </c>
      <c r="D40" s="3"/>
      <c r="E40" s="4"/>
      <c r="F40" s="66"/>
      <c r="G40" s="60"/>
      <c r="H40" s="10"/>
      <c r="I40" s="16"/>
      <c r="J40" s="64"/>
      <c r="K40" s="60"/>
      <c r="L40" s="10"/>
      <c r="M40" s="16"/>
      <c r="N40" s="66"/>
      <c r="O40" s="67"/>
      <c r="P40" s="10"/>
      <c r="Q40" s="16"/>
      <c r="R40" s="66"/>
      <c r="S40" s="60"/>
      <c r="T40" s="10"/>
      <c r="U40" s="16"/>
      <c r="V40" s="66"/>
      <c r="W40" s="60"/>
      <c r="X40" s="10"/>
      <c r="Y40" s="16"/>
      <c r="Z40" s="66"/>
      <c r="AA40" s="60"/>
      <c r="AB40" s="10"/>
      <c r="AC40" s="19"/>
      <c r="AE40" s="180"/>
    </row>
    <row r="41" spans="1:31" x14ac:dyDescent="0.3">
      <c r="A41" s="180"/>
      <c r="B41" s="3" t="s">
        <v>91</v>
      </c>
      <c r="C41" s="3" t="s">
        <v>92</v>
      </c>
      <c r="D41" s="3"/>
      <c r="E41" s="4"/>
      <c r="F41" s="66"/>
      <c r="G41" s="60"/>
      <c r="H41" s="10"/>
      <c r="I41" s="16"/>
      <c r="J41" s="64"/>
      <c r="K41" s="60"/>
      <c r="L41" s="10"/>
      <c r="M41" s="16"/>
      <c r="N41" s="66"/>
      <c r="O41" s="67"/>
      <c r="P41" s="10"/>
      <c r="Q41" s="16"/>
      <c r="R41" s="66"/>
      <c r="S41" s="60"/>
      <c r="T41" s="10"/>
      <c r="U41" s="16"/>
      <c r="V41" s="66"/>
      <c r="W41" s="60"/>
      <c r="X41" s="10"/>
      <c r="Y41" s="16"/>
      <c r="Z41" s="66"/>
      <c r="AA41" s="60"/>
      <c r="AB41" s="10"/>
      <c r="AC41" s="19"/>
      <c r="AE41" s="180"/>
    </row>
    <row r="42" spans="1:31" x14ac:dyDescent="0.3">
      <c r="A42" s="180"/>
      <c r="B42" s="3" t="s">
        <v>94</v>
      </c>
      <c r="C42" s="3" t="s">
        <v>95</v>
      </c>
      <c r="D42" s="3"/>
      <c r="E42" s="4"/>
      <c r="F42" s="66"/>
      <c r="G42" s="60"/>
      <c r="H42" s="10"/>
      <c r="I42" s="16"/>
      <c r="J42" s="64"/>
      <c r="K42" s="60"/>
      <c r="L42" s="10"/>
      <c r="M42" s="16"/>
      <c r="N42" s="66"/>
      <c r="O42" s="67"/>
      <c r="P42" s="10"/>
      <c r="Q42" s="16"/>
      <c r="R42" s="66"/>
      <c r="S42" s="60"/>
      <c r="T42" s="10"/>
      <c r="U42" s="16"/>
      <c r="V42" s="66"/>
      <c r="W42" s="60"/>
      <c r="X42" s="10"/>
      <c r="Y42" s="16"/>
      <c r="Z42" s="66"/>
      <c r="AA42" s="60"/>
      <c r="AB42" s="10"/>
      <c r="AC42" s="19"/>
      <c r="AE42" s="180"/>
    </row>
    <row r="43" spans="1:31" x14ac:dyDescent="0.3">
      <c r="A43" s="180"/>
      <c r="B43" s="3" t="s">
        <v>96</v>
      </c>
      <c r="C43" s="3" t="s">
        <v>97</v>
      </c>
      <c r="D43" s="3"/>
      <c r="E43" s="4"/>
      <c r="F43" s="66"/>
      <c r="G43" s="60"/>
      <c r="H43" s="10"/>
      <c r="I43" s="16"/>
      <c r="J43" s="64"/>
      <c r="K43" s="60"/>
      <c r="L43" s="10"/>
      <c r="M43" s="16"/>
      <c r="N43" s="66"/>
      <c r="O43" s="67"/>
      <c r="P43" s="10"/>
      <c r="Q43" s="16"/>
      <c r="R43" s="66"/>
      <c r="S43" s="60"/>
      <c r="T43" s="10"/>
      <c r="U43" s="16"/>
      <c r="V43" s="66"/>
      <c r="W43" s="60"/>
      <c r="X43" s="10"/>
      <c r="Y43" s="16"/>
      <c r="Z43" s="66"/>
      <c r="AA43" s="60"/>
      <c r="AB43" s="10"/>
      <c r="AC43" s="19"/>
      <c r="AE43" s="180"/>
    </row>
    <row r="44" spans="1:31" x14ac:dyDescent="0.3">
      <c r="A44" s="180"/>
      <c r="B44" s="3" t="s">
        <v>98</v>
      </c>
      <c r="C44" s="3" t="s">
        <v>99</v>
      </c>
      <c r="D44" s="3"/>
      <c r="E44" s="4"/>
      <c r="F44" s="66"/>
      <c r="G44" s="60"/>
      <c r="H44" s="10"/>
      <c r="I44" s="16"/>
      <c r="J44" s="64"/>
      <c r="K44" s="60"/>
      <c r="L44" s="10"/>
      <c r="M44" s="16"/>
      <c r="N44" s="66"/>
      <c r="O44" s="67"/>
      <c r="P44" s="10"/>
      <c r="Q44" s="16"/>
      <c r="R44" s="66"/>
      <c r="S44" s="60"/>
      <c r="T44" s="10"/>
      <c r="U44" s="16"/>
      <c r="V44" s="66"/>
      <c r="W44" s="60"/>
      <c r="X44" s="10"/>
      <c r="Y44" s="16"/>
      <c r="Z44" s="66"/>
      <c r="AA44" s="60"/>
      <c r="AB44" s="10"/>
      <c r="AC44" s="19"/>
      <c r="AE44" s="180"/>
    </row>
    <row r="45" spans="1:31" x14ac:dyDescent="0.3">
      <c r="A45" s="180"/>
      <c r="B45" s="3" t="s">
        <v>101</v>
      </c>
      <c r="C45" s="3" t="s">
        <v>102</v>
      </c>
      <c r="D45" s="3"/>
      <c r="E45" s="4"/>
      <c r="F45" s="66"/>
      <c r="G45" s="60"/>
      <c r="H45" s="10"/>
      <c r="I45" s="16"/>
      <c r="J45" s="64"/>
      <c r="K45" s="60"/>
      <c r="L45" s="10"/>
      <c r="M45" s="16"/>
      <c r="N45" s="66"/>
      <c r="O45" s="67"/>
      <c r="P45" s="10"/>
      <c r="Q45" s="16"/>
      <c r="R45" s="66"/>
      <c r="S45" s="60"/>
      <c r="T45" s="10"/>
      <c r="U45" s="16"/>
      <c r="V45" s="66"/>
      <c r="W45" s="60"/>
      <c r="X45" s="10"/>
      <c r="Y45" s="16"/>
      <c r="Z45" s="66"/>
      <c r="AA45" s="60"/>
      <c r="AB45" s="10"/>
      <c r="AC45" s="19"/>
      <c r="AE45" s="180"/>
    </row>
    <row r="46" spans="1:31" x14ac:dyDescent="0.3">
      <c r="A46" s="180"/>
      <c r="B46" s="3" t="s">
        <v>104</v>
      </c>
      <c r="C46" s="3" t="s">
        <v>105</v>
      </c>
      <c r="D46" s="3"/>
      <c r="E46" s="4"/>
      <c r="F46" s="66"/>
      <c r="G46" s="60"/>
      <c r="H46" s="10"/>
      <c r="I46" s="16"/>
      <c r="J46" s="64"/>
      <c r="K46" s="60"/>
      <c r="L46" s="10"/>
      <c r="M46" s="16"/>
      <c r="N46" s="66"/>
      <c r="O46" s="67"/>
      <c r="P46" s="10"/>
      <c r="Q46" s="16"/>
      <c r="R46" s="66"/>
      <c r="S46" s="60"/>
      <c r="T46" s="10"/>
      <c r="U46" s="16"/>
      <c r="V46" s="66"/>
      <c r="W46" s="60"/>
      <c r="X46" s="10"/>
      <c r="Y46" s="16"/>
      <c r="Z46" s="66"/>
      <c r="AA46" s="60"/>
      <c r="AB46" s="10"/>
      <c r="AC46" s="19"/>
      <c r="AE46" s="180"/>
    </row>
    <row r="47" spans="1:31" x14ac:dyDescent="0.3">
      <c r="A47" s="180"/>
      <c r="B47" s="3" t="s">
        <v>106</v>
      </c>
      <c r="C47" s="3" t="s">
        <v>107</v>
      </c>
      <c r="D47" s="3"/>
      <c r="E47" s="4"/>
      <c r="F47" s="66"/>
      <c r="G47" s="60"/>
      <c r="H47" s="10"/>
      <c r="I47" s="16"/>
      <c r="J47" s="64"/>
      <c r="K47" s="60"/>
      <c r="L47" s="10"/>
      <c r="M47" s="16"/>
      <c r="N47" s="66"/>
      <c r="O47" s="67"/>
      <c r="P47" s="10"/>
      <c r="Q47" s="16"/>
      <c r="R47" s="66"/>
      <c r="S47" s="60"/>
      <c r="T47" s="10"/>
      <c r="U47" s="16"/>
      <c r="V47" s="66"/>
      <c r="W47" s="60"/>
      <c r="X47" s="10"/>
      <c r="Y47" s="16"/>
      <c r="Z47" s="66"/>
      <c r="AA47" s="60"/>
      <c r="AB47" s="10"/>
      <c r="AC47" s="19"/>
      <c r="AE47" s="180"/>
    </row>
    <row r="48" spans="1:31" x14ac:dyDescent="0.3">
      <c r="A48" s="180"/>
      <c r="B48" s="3" t="s">
        <v>109</v>
      </c>
      <c r="C48" s="3" t="s">
        <v>110</v>
      </c>
      <c r="D48" s="3"/>
      <c r="E48" s="4"/>
      <c r="F48" s="66"/>
      <c r="G48" s="60"/>
      <c r="H48" s="10"/>
      <c r="I48" s="16"/>
      <c r="J48" s="64"/>
      <c r="K48" s="60"/>
      <c r="L48" s="10"/>
      <c r="M48" s="16"/>
      <c r="N48" s="66"/>
      <c r="O48" s="67"/>
      <c r="P48" s="10"/>
      <c r="Q48" s="16"/>
      <c r="R48" s="66"/>
      <c r="S48" s="60"/>
      <c r="T48" s="10"/>
      <c r="U48" s="16"/>
      <c r="V48" s="66"/>
      <c r="W48" s="60"/>
      <c r="X48" s="10"/>
      <c r="Y48" s="16"/>
      <c r="Z48" s="66"/>
      <c r="AA48" s="60"/>
      <c r="AB48" s="10"/>
      <c r="AC48" s="19"/>
      <c r="AE48" s="180"/>
    </row>
    <row r="49" spans="1:31" x14ac:dyDescent="0.3">
      <c r="A49" s="180"/>
      <c r="B49" s="3" t="s">
        <v>187</v>
      </c>
      <c r="C49" s="3" t="s">
        <v>188</v>
      </c>
      <c r="D49" s="3"/>
      <c r="E49" s="4"/>
      <c r="F49" s="66"/>
      <c r="G49" s="60"/>
      <c r="H49" s="10"/>
      <c r="I49" s="16"/>
      <c r="J49" s="64"/>
      <c r="K49" s="60"/>
      <c r="L49" s="10"/>
      <c r="M49" s="16"/>
      <c r="N49" s="66"/>
      <c r="O49" s="67"/>
      <c r="P49" s="10"/>
      <c r="Q49" s="16"/>
      <c r="R49" s="66"/>
      <c r="S49" s="60"/>
      <c r="T49" s="10"/>
      <c r="U49" s="16"/>
      <c r="V49" s="66"/>
      <c r="W49" s="60"/>
      <c r="X49" s="10"/>
      <c r="Y49" s="16"/>
      <c r="Z49" s="66"/>
      <c r="AA49" s="60"/>
      <c r="AB49" s="10"/>
      <c r="AC49" s="19"/>
      <c r="AE49" s="180"/>
    </row>
    <row r="50" spans="1:31" x14ac:dyDescent="0.3">
      <c r="A50" s="180"/>
      <c r="B50" s="3" t="s">
        <v>111</v>
      </c>
      <c r="C50" s="3" t="s">
        <v>112</v>
      </c>
      <c r="D50" s="3"/>
      <c r="E50" s="4"/>
      <c r="F50" s="66"/>
      <c r="G50" s="60"/>
      <c r="H50" s="10"/>
      <c r="I50" s="16"/>
      <c r="J50" s="64"/>
      <c r="K50" s="60"/>
      <c r="L50" s="10"/>
      <c r="M50" s="16"/>
      <c r="N50" s="66"/>
      <c r="O50" s="67"/>
      <c r="P50" s="10"/>
      <c r="Q50" s="16"/>
      <c r="R50" s="66"/>
      <c r="S50" s="60"/>
      <c r="T50" s="10"/>
      <c r="U50" s="16"/>
      <c r="V50" s="66"/>
      <c r="W50" s="60"/>
      <c r="X50" s="10"/>
      <c r="Y50" s="16"/>
      <c r="Z50" s="66"/>
      <c r="AA50" s="60"/>
      <c r="AB50" s="10"/>
      <c r="AC50" s="19"/>
      <c r="AE50" s="180"/>
    </row>
    <row r="51" spans="1:31" x14ac:dyDescent="0.3">
      <c r="A51" s="180"/>
      <c r="B51" s="3" t="s">
        <v>113</v>
      </c>
      <c r="C51" s="3" t="s">
        <v>114</v>
      </c>
      <c r="D51" s="3"/>
      <c r="E51" s="4"/>
      <c r="F51" s="66"/>
      <c r="G51" s="60"/>
      <c r="H51" s="10"/>
      <c r="I51" s="16"/>
      <c r="J51" s="64"/>
      <c r="K51" s="60"/>
      <c r="L51" s="10"/>
      <c r="M51" s="16"/>
      <c r="N51" s="66"/>
      <c r="O51" s="67"/>
      <c r="P51" s="10"/>
      <c r="Q51" s="16"/>
      <c r="R51" s="66"/>
      <c r="S51" s="60"/>
      <c r="T51" s="10"/>
      <c r="U51" s="16"/>
      <c r="V51" s="66"/>
      <c r="W51" s="60"/>
      <c r="X51" s="10"/>
      <c r="Y51" s="16"/>
      <c r="Z51" s="66"/>
      <c r="AA51" s="60"/>
      <c r="AB51" s="10"/>
      <c r="AC51" s="19"/>
      <c r="AE51" s="180"/>
    </row>
    <row r="52" spans="1:31" x14ac:dyDescent="0.3">
      <c r="A52" s="180"/>
      <c r="B52" s="3" t="s">
        <v>116</v>
      </c>
      <c r="C52" s="3" t="s">
        <v>117</v>
      </c>
      <c r="D52" s="3"/>
      <c r="E52" s="4"/>
      <c r="F52" s="66"/>
      <c r="G52" s="60"/>
      <c r="H52" s="10"/>
      <c r="I52" s="16"/>
      <c r="J52" s="64"/>
      <c r="K52" s="60"/>
      <c r="L52" s="10"/>
      <c r="M52" s="16"/>
      <c r="N52" s="66"/>
      <c r="O52" s="67"/>
      <c r="P52" s="10"/>
      <c r="Q52" s="16"/>
      <c r="R52" s="66"/>
      <c r="S52" s="60"/>
      <c r="T52" s="10"/>
      <c r="U52" s="16"/>
      <c r="V52" s="66"/>
      <c r="W52" s="60"/>
      <c r="X52" s="10"/>
      <c r="Y52" s="16"/>
      <c r="Z52" s="66"/>
      <c r="AA52" s="60"/>
      <c r="AB52" s="10"/>
      <c r="AC52" s="19"/>
      <c r="AE52" s="180"/>
    </row>
    <row r="53" spans="1:31" x14ac:dyDescent="0.3">
      <c r="A53" s="180"/>
      <c r="B53" s="3" t="s">
        <v>118</v>
      </c>
      <c r="C53" s="3" t="s">
        <v>119</v>
      </c>
      <c r="D53" s="3"/>
      <c r="E53" s="4"/>
      <c r="F53" s="66"/>
      <c r="G53" s="60"/>
      <c r="H53" s="10"/>
      <c r="I53" s="16"/>
      <c r="J53" s="64"/>
      <c r="K53" s="60"/>
      <c r="L53" s="10"/>
      <c r="M53" s="16"/>
      <c r="N53" s="66"/>
      <c r="O53" s="67"/>
      <c r="P53" s="10"/>
      <c r="Q53" s="16"/>
      <c r="R53" s="66"/>
      <c r="S53" s="60"/>
      <c r="T53" s="10"/>
      <c r="U53" s="16"/>
      <c r="V53" s="66"/>
      <c r="W53" s="60"/>
      <c r="X53" s="10"/>
      <c r="Y53" s="16"/>
      <c r="Z53" s="66"/>
      <c r="AA53" s="60"/>
      <c r="AB53" s="10"/>
      <c r="AC53" s="19"/>
      <c r="AE53" s="180"/>
    </row>
    <row r="54" spans="1:31" x14ac:dyDescent="0.3">
      <c r="A54" s="180"/>
      <c r="B54" s="3" t="s">
        <v>184</v>
      </c>
      <c r="C54" s="3" t="s">
        <v>185</v>
      </c>
      <c r="D54" s="3"/>
      <c r="E54" s="4"/>
      <c r="F54" s="66"/>
      <c r="G54" s="60"/>
      <c r="H54" s="10"/>
      <c r="I54" s="16"/>
      <c r="J54" s="64"/>
      <c r="K54" s="60"/>
      <c r="L54" s="10"/>
      <c r="M54" s="16"/>
      <c r="N54" s="66"/>
      <c r="O54" s="67"/>
      <c r="P54" s="10"/>
      <c r="Q54" s="16"/>
      <c r="R54" s="66"/>
      <c r="S54" s="60"/>
      <c r="T54" s="10"/>
      <c r="U54" s="16"/>
      <c r="V54" s="66"/>
      <c r="W54" s="60"/>
      <c r="X54" s="10"/>
      <c r="Y54" s="16"/>
      <c r="Z54" s="66"/>
      <c r="AA54" s="60"/>
      <c r="AB54" s="10"/>
      <c r="AC54" s="19"/>
      <c r="AE54" s="180"/>
    </row>
    <row r="55" spans="1:31" x14ac:dyDescent="0.3">
      <c r="A55" s="180"/>
      <c r="B55" s="3" t="s">
        <v>373</v>
      </c>
      <c r="C55" s="3" t="s">
        <v>374</v>
      </c>
      <c r="D55" s="3"/>
      <c r="E55" s="4"/>
      <c r="F55" s="66"/>
      <c r="G55" s="60"/>
      <c r="H55" s="10"/>
      <c r="I55" s="16"/>
      <c r="J55" s="64"/>
      <c r="K55" s="60"/>
      <c r="L55" s="10"/>
      <c r="M55" s="16"/>
      <c r="N55" s="66"/>
      <c r="O55" s="67"/>
      <c r="P55" s="10"/>
      <c r="Q55" s="16"/>
      <c r="R55" s="66"/>
      <c r="S55" s="60"/>
      <c r="T55" s="10"/>
      <c r="U55" s="16"/>
      <c r="V55" s="66"/>
      <c r="W55" s="60"/>
      <c r="X55" s="10"/>
      <c r="Y55" s="16"/>
      <c r="Z55" s="66"/>
      <c r="AA55" s="60"/>
      <c r="AB55" s="10"/>
      <c r="AC55" s="19"/>
      <c r="AE55" s="180"/>
    </row>
    <row r="56" spans="1:31" x14ac:dyDescent="0.3">
      <c r="A56" s="180"/>
      <c r="B56" s="3" t="s">
        <v>120</v>
      </c>
      <c r="C56" s="3" t="s">
        <v>121</v>
      </c>
      <c r="D56" s="3"/>
      <c r="E56" s="4"/>
      <c r="F56" s="66"/>
      <c r="G56" s="60"/>
      <c r="H56" s="10"/>
      <c r="I56" s="16"/>
      <c r="J56" s="64"/>
      <c r="K56" s="60"/>
      <c r="L56" s="10"/>
      <c r="M56" s="16"/>
      <c r="N56" s="66"/>
      <c r="O56" s="67"/>
      <c r="P56" s="10"/>
      <c r="Q56" s="16"/>
      <c r="R56" s="66"/>
      <c r="S56" s="60"/>
      <c r="T56" s="10"/>
      <c r="U56" s="16"/>
      <c r="V56" s="66"/>
      <c r="W56" s="60"/>
      <c r="X56" s="10"/>
      <c r="Y56" s="16"/>
      <c r="Z56" s="66"/>
      <c r="AA56" s="60"/>
      <c r="AB56" s="10"/>
      <c r="AC56" s="19"/>
      <c r="AE56" s="180"/>
    </row>
    <row r="57" spans="1:31" x14ac:dyDescent="0.3">
      <c r="A57" s="180"/>
      <c r="B57" s="3" t="s">
        <v>375</v>
      </c>
      <c r="C57" s="3" t="s">
        <v>183</v>
      </c>
      <c r="D57" s="3"/>
      <c r="E57" s="4"/>
      <c r="F57" s="66"/>
      <c r="G57" s="60"/>
      <c r="H57" s="10"/>
      <c r="I57" s="16"/>
      <c r="J57" s="64"/>
      <c r="K57" s="60"/>
      <c r="L57" s="10"/>
      <c r="M57" s="16"/>
      <c r="N57" s="66"/>
      <c r="O57" s="67"/>
      <c r="P57" s="10"/>
      <c r="Q57" s="16"/>
      <c r="R57" s="66"/>
      <c r="S57" s="60"/>
      <c r="T57" s="10"/>
      <c r="U57" s="16"/>
      <c r="V57" s="66"/>
      <c r="W57" s="60"/>
      <c r="X57" s="10"/>
      <c r="Y57" s="16"/>
      <c r="Z57" s="66"/>
      <c r="AA57" s="60"/>
      <c r="AB57" s="10"/>
      <c r="AC57" s="19"/>
      <c r="AE57" s="180"/>
    </row>
    <row r="58" spans="1:31" x14ac:dyDescent="0.3">
      <c r="A58" s="180"/>
      <c r="B58" s="3" t="s">
        <v>122</v>
      </c>
      <c r="C58" s="3" t="s">
        <v>123</v>
      </c>
      <c r="D58" s="3"/>
      <c r="E58" s="4"/>
      <c r="F58" s="66"/>
      <c r="G58" s="60"/>
      <c r="H58" s="10"/>
      <c r="I58" s="16"/>
      <c r="J58" s="64"/>
      <c r="K58" s="60"/>
      <c r="L58" s="10"/>
      <c r="M58" s="16"/>
      <c r="N58" s="66"/>
      <c r="O58" s="67"/>
      <c r="P58" s="10"/>
      <c r="Q58" s="16"/>
      <c r="R58" s="66"/>
      <c r="S58" s="60"/>
      <c r="T58" s="10"/>
      <c r="U58" s="16"/>
      <c r="V58" s="66"/>
      <c r="W58" s="60"/>
      <c r="X58" s="10"/>
      <c r="Y58" s="16"/>
      <c r="Z58" s="66"/>
      <c r="AA58" s="60"/>
      <c r="AB58" s="10"/>
      <c r="AC58" s="19"/>
      <c r="AE58" s="180"/>
    </row>
    <row r="59" spans="1:31" x14ac:dyDescent="0.3">
      <c r="A59" s="180"/>
      <c r="B59" s="3" t="s">
        <v>124</v>
      </c>
      <c r="C59" s="3" t="s">
        <v>125</v>
      </c>
      <c r="D59" s="3"/>
      <c r="E59" s="4"/>
      <c r="F59" s="66"/>
      <c r="G59" s="60"/>
      <c r="H59" s="10"/>
      <c r="I59" s="16"/>
      <c r="J59" s="64"/>
      <c r="K59" s="60"/>
      <c r="L59" s="10"/>
      <c r="M59" s="16"/>
      <c r="N59" s="66"/>
      <c r="O59" s="67"/>
      <c r="P59" s="10"/>
      <c r="Q59" s="16"/>
      <c r="R59" s="66"/>
      <c r="S59" s="60"/>
      <c r="T59" s="10"/>
      <c r="U59" s="16"/>
      <c r="V59" s="66"/>
      <c r="W59" s="60"/>
      <c r="X59" s="10"/>
      <c r="Y59" s="16"/>
      <c r="Z59" s="66"/>
      <c r="AA59" s="60"/>
      <c r="AB59" s="10"/>
      <c r="AC59" s="19"/>
      <c r="AE59" s="180"/>
    </row>
    <row r="60" spans="1:31" x14ac:dyDescent="0.3">
      <c r="A60" s="180"/>
      <c r="B60" s="3" t="s">
        <v>126</v>
      </c>
      <c r="C60" s="3" t="s">
        <v>127</v>
      </c>
      <c r="D60" s="3"/>
      <c r="E60" s="4"/>
      <c r="F60" s="66"/>
      <c r="G60" s="60"/>
      <c r="H60" s="10"/>
      <c r="I60" s="16"/>
      <c r="J60" s="64"/>
      <c r="K60" s="60"/>
      <c r="L60" s="10"/>
      <c r="M60" s="16"/>
      <c r="N60" s="66"/>
      <c r="O60" s="67"/>
      <c r="P60" s="10"/>
      <c r="Q60" s="16"/>
      <c r="R60" s="66"/>
      <c r="S60" s="60"/>
      <c r="T60" s="10"/>
      <c r="U60" s="16"/>
      <c r="V60" s="66"/>
      <c r="W60" s="60"/>
      <c r="X60" s="10"/>
      <c r="Y60" s="16"/>
      <c r="Z60" s="66"/>
      <c r="AA60" s="60"/>
      <c r="AB60" s="10"/>
      <c r="AC60" s="19"/>
      <c r="AE60" s="180"/>
    </row>
    <row r="61" spans="1:31" x14ac:dyDescent="0.3">
      <c r="A61" s="180"/>
      <c r="B61" s="3" t="s">
        <v>128</v>
      </c>
      <c r="C61" s="3" t="s">
        <v>129</v>
      </c>
      <c r="D61" s="3"/>
      <c r="E61" s="4"/>
      <c r="F61" s="66"/>
      <c r="G61" s="60"/>
      <c r="H61" s="10"/>
      <c r="I61" s="16"/>
      <c r="J61" s="64"/>
      <c r="K61" s="60"/>
      <c r="L61" s="10"/>
      <c r="M61" s="16"/>
      <c r="N61" s="66"/>
      <c r="O61" s="67"/>
      <c r="P61" s="10"/>
      <c r="Q61" s="16"/>
      <c r="R61" s="66"/>
      <c r="S61" s="60"/>
      <c r="T61" s="10"/>
      <c r="U61" s="16"/>
      <c r="V61" s="66"/>
      <c r="W61" s="60"/>
      <c r="X61" s="10"/>
      <c r="Y61" s="16"/>
      <c r="Z61" s="66"/>
      <c r="AA61" s="60"/>
      <c r="AB61" s="10"/>
      <c r="AC61" s="19"/>
      <c r="AE61" s="180"/>
    </row>
    <row r="62" spans="1:31" x14ac:dyDescent="0.3">
      <c r="A62" s="180"/>
      <c r="B62" s="3" t="s">
        <v>131</v>
      </c>
      <c r="C62" s="3" t="s">
        <v>132</v>
      </c>
      <c r="D62" s="3"/>
      <c r="E62" s="4"/>
      <c r="F62" s="66"/>
      <c r="G62" s="60"/>
      <c r="H62" s="10"/>
      <c r="I62" s="16"/>
      <c r="J62" s="64"/>
      <c r="K62" s="60"/>
      <c r="L62" s="10"/>
      <c r="M62" s="16"/>
      <c r="N62" s="66"/>
      <c r="O62" s="67"/>
      <c r="P62" s="10"/>
      <c r="Q62" s="16"/>
      <c r="R62" s="66"/>
      <c r="S62" s="60"/>
      <c r="T62" s="10"/>
      <c r="U62" s="16"/>
      <c r="V62" s="66"/>
      <c r="W62" s="60"/>
      <c r="X62" s="10"/>
      <c r="Y62" s="16"/>
      <c r="Z62" s="66"/>
      <c r="AA62" s="60"/>
      <c r="AB62" s="10"/>
      <c r="AC62" s="19"/>
      <c r="AE62" s="180"/>
    </row>
    <row r="63" spans="1:31" x14ac:dyDescent="0.3">
      <c r="A63" s="180"/>
      <c r="B63" s="3" t="s">
        <v>133</v>
      </c>
      <c r="C63" s="3" t="s">
        <v>134</v>
      </c>
      <c r="D63" s="3"/>
      <c r="E63" s="4"/>
      <c r="F63" s="66"/>
      <c r="G63" s="60"/>
      <c r="H63" s="10"/>
      <c r="I63" s="16"/>
      <c r="J63" s="64"/>
      <c r="K63" s="60"/>
      <c r="L63" s="10"/>
      <c r="M63" s="16"/>
      <c r="N63" s="66"/>
      <c r="O63" s="67"/>
      <c r="P63" s="10"/>
      <c r="Q63" s="16"/>
      <c r="R63" s="66"/>
      <c r="S63" s="60"/>
      <c r="T63" s="10"/>
      <c r="U63" s="16"/>
      <c r="V63" s="66"/>
      <c r="W63" s="60"/>
      <c r="X63" s="10"/>
      <c r="Y63" s="16"/>
      <c r="Z63" s="66"/>
      <c r="AA63" s="60"/>
      <c r="AB63" s="10"/>
      <c r="AC63" s="19"/>
      <c r="AE63" s="180"/>
    </row>
    <row r="64" spans="1:31" x14ac:dyDescent="0.3">
      <c r="A64" s="180"/>
      <c r="B64" s="3" t="s">
        <v>136</v>
      </c>
      <c r="C64" s="3" t="s">
        <v>137</v>
      </c>
      <c r="D64" s="3"/>
      <c r="E64" s="4"/>
      <c r="F64" s="66"/>
      <c r="G64" s="60"/>
      <c r="H64" s="10"/>
      <c r="I64" s="16"/>
      <c r="J64" s="64"/>
      <c r="K64" s="60"/>
      <c r="L64" s="10"/>
      <c r="M64" s="16"/>
      <c r="N64" s="66"/>
      <c r="O64" s="67"/>
      <c r="P64" s="10"/>
      <c r="Q64" s="16"/>
      <c r="R64" s="66"/>
      <c r="S64" s="60"/>
      <c r="T64" s="10"/>
      <c r="U64" s="16"/>
      <c r="V64" s="66"/>
      <c r="W64" s="60"/>
      <c r="X64" s="10"/>
      <c r="Y64" s="16"/>
      <c r="Z64" s="66"/>
      <c r="AA64" s="60"/>
      <c r="AB64" s="10"/>
      <c r="AC64" s="19"/>
      <c r="AE64" s="180"/>
    </row>
    <row r="65" spans="1:31" x14ac:dyDescent="0.3">
      <c r="A65" s="180"/>
      <c r="B65" s="3" t="s">
        <v>138</v>
      </c>
      <c r="C65" s="3" t="s">
        <v>139</v>
      </c>
      <c r="D65" s="3"/>
      <c r="E65" s="4"/>
      <c r="F65" s="66"/>
      <c r="G65" s="60"/>
      <c r="H65" s="10"/>
      <c r="I65" s="16"/>
      <c r="J65" s="64"/>
      <c r="K65" s="60"/>
      <c r="L65" s="10"/>
      <c r="M65" s="16"/>
      <c r="N65" s="66"/>
      <c r="O65" s="67"/>
      <c r="P65" s="10"/>
      <c r="Q65" s="16"/>
      <c r="R65" s="66"/>
      <c r="S65" s="60"/>
      <c r="T65" s="10"/>
      <c r="U65" s="16"/>
      <c r="V65" s="66"/>
      <c r="W65" s="60"/>
      <c r="X65" s="10"/>
      <c r="Y65" s="16"/>
      <c r="Z65" s="66"/>
      <c r="AA65" s="60"/>
      <c r="AB65" s="10"/>
      <c r="AC65" s="19"/>
      <c r="AE65" s="180"/>
    </row>
    <row r="66" spans="1:31" x14ac:dyDescent="0.3">
      <c r="A66" s="180"/>
      <c r="B66" s="3" t="s">
        <v>141</v>
      </c>
      <c r="C66" s="3" t="s">
        <v>142</v>
      </c>
      <c r="D66" s="3"/>
      <c r="E66" s="4"/>
      <c r="F66" s="66"/>
      <c r="G66" s="60"/>
      <c r="H66" s="10"/>
      <c r="I66" s="16"/>
      <c r="J66" s="64"/>
      <c r="K66" s="60"/>
      <c r="L66" s="10"/>
      <c r="M66" s="16"/>
      <c r="N66" s="66"/>
      <c r="O66" s="67"/>
      <c r="P66" s="10"/>
      <c r="Q66" s="16"/>
      <c r="R66" s="66"/>
      <c r="S66" s="60"/>
      <c r="T66" s="10"/>
      <c r="U66" s="16"/>
      <c r="V66" s="66"/>
      <c r="W66" s="60"/>
      <c r="X66" s="10"/>
      <c r="Y66" s="16"/>
      <c r="Z66" s="66"/>
      <c r="AA66" s="60"/>
      <c r="AB66" s="10"/>
      <c r="AC66" s="19"/>
      <c r="AE66" s="180"/>
    </row>
    <row r="67" spans="1:31" x14ac:dyDescent="0.3">
      <c r="A67" s="180"/>
      <c r="B67" s="3" t="s">
        <v>143</v>
      </c>
      <c r="C67" s="3" t="s">
        <v>144</v>
      </c>
      <c r="D67" s="3"/>
      <c r="E67" s="4"/>
      <c r="F67" s="66"/>
      <c r="G67" s="60"/>
      <c r="H67" s="10"/>
      <c r="I67" s="16"/>
      <c r="J67" s="64"/>
      <c r="K67" s="60"/>
      <c r="L67" s="10"/>
      <c r="M67" s="16"/>
      <c r="N67" s="66"/>
      <c r="O67" s="67"/>
      <c r="P67" s="10"/>
      <c r="Q67" s="16"/>
      <c r="R67" s="66"/>
      <c r="S67" s="60"/>
      <c r="T67" s="10"/>
      <c r="U67" s="16"/>
      <c r="V67" s="66"/>
      <c r="W67" s="60"/>
      <c r="X67" s="10"/>
      <c r="Y67" s="16"/>
      <c r="Z67" s="66"/>
      <c r="AA67" s="60"/>
      <c r="AB67" s="10"/>
      <c r="AC67" s="19"/>
      <c r="AE67" s="180"/>
    </row>
    <row r="68" spans="1:31" x14ac:dyDescent="0.3">
      <c r="A68" s="180"/>
      <c r="B68" s="3" t="s">
        <v>145</v>
      </c>
      <c r="C68" s="3" t="s">
        <v>146</v>
      </c>
      <c r="D68" s="3"/>
      <c r="E68" s="4"/>
      <c r="F68" s="66"/>
      <c r="G68" s="60"/>
      <c r="H68" s="10"/>
      <c r="I68" s="16"/>
      <c r="J68" s="64"/>
      <c r="K68" s="60"/>
      <c r="L68" s="10"/>
      <c r="M68" s="16"/>
      <c r="N68" s="66"/>
      <c r="O68" s="67"/>
      <c r="P68" s="10"/>
      <c r="Q68" s="16"/>
      <c r="R68" s="66"/>
      <c r="S68" s="60"/>
      <c r="T68" s="10"/>
      <c r="U68" s="16"/>
      <c r="V68" s="66"/>
      <c r="W68" s="60"/>
      <c r="X68" s="10"/>
      <c r="Y68" s="16"/>
      <c r="Z68" s="66"/>
      <c r="AA68" s="60"/>
      <c r="AB68" s="10"/>
      <c r="AC68" s="19"/>
      <c r="AE68" s="180"/>
    </row>
    <row r="69" spans="1:31" x14ac:dyDescent="0.3">
      <c r="A69" s="180"/>
      <c r="B69" s="3" t="s">
        <v>147</v>
      </c>
      <c r="C69" s="3" t="s">
        <v>163</v>
      </c>
      <c r="D69" s="3"/>
      <c r="E69" s="4"/>
      <c r="F69" s="66"/>
      <c r="G69" s="60"/>
      <c r="H69" s="10"/>
      <c r="I69" s="16"/>
      <c r="J69" s="64"/>
      <c r="K69" s="60"/>
      <c r="L69" s="10"/>
      <c r="M69" s="16"/>
      <c r="N69" s="66"/>
      <c r="O69" s="67"/>
      <c r="P69" s="10"/>
      <c r="Q69" s="16"/>
      <c r="R69" s="66"/>
      <c r="S69" s="60"/>
      <c r="T69" s="10"/>
      <c r="U69" s="16"/>
      <c r="V69" s="66"/>
      <c r="W69" s="60"/>
      <c r="X69" s="10"/>
      <c r="Y69" s="16"/>
      <c r="Z69" s="66"/>
      <c r="AA69" s="60"/>
      <c r="AB69" s="10"/>
      <c r="AC69" s="19"/>
      <c r="AE69" s="180"/>
    </row>
    <row r="70" spans="1:31" x14ac:dyDescent="0.3">
      <c r="A70" s="180"/>
      <c r="B70" s="3" t="s">
        <v>147</v>
      </c>
      <c r="C70" s="3" t="s">
        <v>453</v>
      </c>
      <c r="D70" s="3"/>
      <c r="E70" s="4"/>
      <c r="F70" s="66"/>
      <c r="G70" s="60"/>
      <c r="H70" s="10"/>
      <c r="I70" s="16"/>
      <c r="J70" s="64"/>
      <c r="K70" s="60"/>
      <c r="L70" s="10"/>
      <c r="M70" s="16"/>
      <c r="N70" s="66"/>
      <c r="O70" s="67"/>
      <c r="P70" s="10"/>
      <c r="Q70" s="16"/>
      <c r="R70" s="66"/>
      <c r="S70" s="60"/>
      <c r="T70" s="10"/>
      <c r="U70" s="16"/>
      <c r="V70" s="66"/>
      <c r="W70" s="60"/>
      <c r="X70" s="10"/>
      <c r="Y70" s="16"/>
      <c r="Z70" s="66"/>
      <c r="AA70" s="60"/>
      <c r="AB70" s="10"/>
      <c r="AC70" s="19"/>
      <c r="AE70" s="180"/>
    </row>
    <row r="71" spans="1:31" x14ac:dyDescent="0.3">
      <c r="A71" s="180"/>
      <c r="B71" s="3" t="s">
        <v>147</v>
      </c>
      <c r="C71" s="3" t="s">
        <v>154</v>
      </c>
      <c r="D71" s="3"/>
      <c r="E71" s="4"/>
      <c r="F71" s="66"/>
      <c r="G71" s="60"/>
      <c r="H71" s="10"/>
      <c r="I71" s="16"/>
      <c r="J71" s="64"/>
      <c r="K71" s="60"/>
      <c r="L71" s="10"/>
      <c r="M71" s="16"/>
      <c r="N71" s="66"/>
      <c r="O71" s="67"/>
      <c r="P71" s="10"/>
      <c r="Q71" s="16"/>
      <c r="R71" s="66"/>
      <c r="S71" s="60"/>
      <c r="T71" s="10"/>
      <c r="U71" s="16"/>
      <c r="V71" s="66"/>
      <c r="W71" s="60"/>
      <c r="X71" s="10"/>
      <c r="Y71" s="16"/>
      <c r="Z71" s="66"/>
      <c r="AA71" s="60"/>
      <c r="AB71" s="10"/>
      <c r="AC71" s="19"/>
      <c r="AE71" s="180"/>
    </row>
    <row r="72" spans="1:31" x14ac:dyDescent="0.3">
      <c r="A72" s="180"/>
      <c r="B72" s="3" t="s">
        <v>147</v>
      </c>
      <c r="C72" s="3" t="s">
        <v>161</v>
      </c>
      <c r="D72" s="3"/>
      <c r="E72" s="4"/>
      <c r="F72" s="66"/>
      <c r="G72" s="60"/>
      <c r="H72" s="10"/>
      <c r="I72" s="16"/>
      <c r="J72" s="64"/>
      <c r="K72" s="60"/>
      <c r="L72" s="10"/>
      <c r="M72" s="16"/>
      <c r="N72" s="66"/>
      <c r="O72" s="67"/>
      <c r="P72" s="10"/>
      <c r="Q72" s="16"/>
      <c r="R72" s="66"/>
      <c r="S72" s="60"/>
      <c r="T72" s="10"/>
      <c r="U72" s="16"/>
      <c r="V72" s="66"/>
      <c r="W72" s="60"/>
      <c r="X72" s="10"/>
      <c r="Y72" s="16"/>
      <c r="Z72" s="66"/>
      <c r="AA72" s="60"/>
      <c r="AB72" s="10"/>
      <c r="AC72" s="19"/>
      <c r="AE72" s="180"/>
    </row>
    <row r="73" spans="1:31" x14ac:dyDescent="0.3">
      <c r="A73" s="180"/>
      <c r="B73" s="3"/>
      <c r="C73" s="3"/>
      <c r="D73" s="3"/>
      <c r="E73" s="4"/>
      <c r="F73" s="66"/>
      <c r="G73" s="60"/>
      <c r="H73" s="10"/>
      <c r="I73" s="16"/>
      <c r="J73" s="64"/>
      <c r="K73" s="60"/>
      <c r="L73" s="10"/>
      <c r="M73" s="16"/>
      <c r="N73" s="66"/>
      <c r="O73" s="67"/>
      <c r="P73" s="10"/>
      <c r="Q73" s="16"/>
      <c r="R73" s="66"/>
      <c r="S73" s="60"/>
      <c r="T73" s="10"/>
      <c r="U73" s="16"/>
      <c r="V73" s="66"/>
      <c r="W73" s="60"/>
      <c r="X73" s="10"/>
      <c r="Y73" s="16"/>
      <c r="Z73" s="66"/>
      <c r="AA73" s="60"/>
      <c r="AB73" s="10"/>
      <c r="AC73" s="19"/>
      <c r="AE73" s="180"/>
    </row>
    <row r="74" spans="1:31" x14ac:dyDescent="0.3">
      <c r="A74" s="180"/>
      <c r="B74" s="3" t="s">
        <v>147</v>
      </c>
      <c r="C74" s="3" t="s">
        <v>481</v>
      </c>
      <c r="D74" s="3"/>
      <c r="E74" s="4"/>
      <c r="F74" s="66"/>
      <c r="G74" s="60"/>
      <c r="H74" s="10"/>
      <c r="I74" s="16"/>
      <c r="J74" s="64"/>
      <c r="K74" s="60"/>
      <c r="L74" s="10"/>
      <c r="M74" s="16"/>
      <c r="N74" s="66"/>
      <c r="O74" s="67"/>
      <c r="P74" s="10"/>
      <c r="Q74" s="16"/>
      <c r="R74" s="66"/>
      <c r="S74" s="60"/>
      <c r="T74" s="10"/>
      <c r="U74" s="16"/>
      <c r="V74" s="66"/>
      <c r="W74" s="60"/>
      <c r="X74" s="10"/>
      <c r="Y74" s="16"/>
      <c r="Z74" s="66"/>
      <c r="AA74" s="60"/>
      <c r="AB74" s="10"/>
      <c r="AC74" s="19"/>
      <c r="AE74" s="180"/>
    </row>
    <row r="75" spans="1:31" x14ac:dyDescent="0.3">
      <c r="A75" s="180"/>
      <c r="B75" s="3"/>
      <c r="C75" s="3">
        <v>903</v>
      </c>
      <c r="D75" s="3"/>
      <c r="E75" s="4"/>
      <c r="F75" s="66"/>
      <c r="G75" s="60"/>
      <c r="H75" s="10"/>
      <c r="I75" s="16"/>
      <c r="J75" s="64"/>
      <c r="K75" s="60"/>
      <c r="L75" s="10"/>
      <c r="M75" s="16"/>
      <c r="N75" s="66"/>
      <c r="O75" s="67"/>
      <c r="P75" s="10"/>
      <c r="Q75" s="16"/>
      <c r="R75" s="66"/>
      <c r="S75" s="60"/>
      <c r="T75" s="10"/>
      <c r="U75" s="16"/>
      <c r="V75" s="66"/>
      <c r="W75" s="60"/>
      <c r="X75" s="10"/>
      <c r="Y75" s="16"/>
      <c r="Z75" s="66"/>
      <c r="AA75" s="60"/>
      <c r="AB75" s="10"/>
      <c r="AC75" s="19"/>
      <c r="AE75" s="180"/>
    </row>
    <row r="76" spans="1:31" x14ac:dyDescent="0.3">
      <c r="A76" s="180"/>
      <c r="B76" s="3"/>
      <c r="C76" s="3">
        <v>703</v>
      </c>
      <c r="D76" s="3"/>
      <c r="E76" s="4"/>
      <c r="F76" s="66"/>
      <c r="G76" s="60"/>
      <c r="H76" s="10"/>
      <c r="I76" s="16"/>
      <c r="J76" s="64"/>
      <c r="K76" s="60"/>
      <c r="L76" s="10"/>
      <c r="M76" s="16"/>
      <c r="N76" s="66"/>
      <c r="O76" s="67"/>
      <c r="P76" s="10"/>
      <c r="Q76" s="16"/>
      <c r="R76" s="66"/>
      <c r="S76" s="60"/>
      <c r="T76" s="10"/>
      <c r="U76" s="16"/>
      <c r="V76" s="66"/>
      <c r="W76" s="60"/>
      <c r="X76" s="10"/>
      <c r="Y76" s="16"/>
      <c r="Z76" s="66"/>
      <c r="AA76" s="60"/>
      <c r="AB76" s="10"/>
      <c r="AC76" s="19"/>
      <c r="AE76" s="180"/>
    </row>
    <row r="77" spans="1:31" x14ac:dyDescent="0.3">
      <c r="A77" s="180"/>
      <c r="B77" s="3"/>
      <c r="C77" s="3">
        <v>746</v>
      </c>
      <c r="D77" s="3"/>
      <c r="E77" s="4"/>
      <c r="F77" s="66"/>
      <c r="G77" s="60"/>
      <c r="H77" s="10"/>
      <c r="I77" s="16"/>
      <c r="J77" s="64"/>
      <c r="K77" s="60"/>
      <c r="L77" s="10"/>
      <c r="M77" s="16"/>
      <c r="N77" s="66"/>
      <c r="O77" s="67"/>
      <c r="P77" s="10"/>
      <c r="Q77" s="16"/>
      <c r="R77" s="66"/>
      <c r="S77" s="60"/>
      <c r="T77" s="10"/>
      <c r="U77" s="16"/>
      <c r="V77" s="66"/>
      <c r="W77" s="60"/>
      <c r="X77" s="10"/>
      <c r="Y77" s="16"/>
      <c r="Z77" s="66"/>
      <c r="AA77" s="60"/>
      <c r="AB77" s="10"/>
      <c r="AC77" s="19"/>
      <c r="AE77" s="180"/>
    </row>
    <row r="78" spans="1:31" x14ac:dyDescent="0.3">
      <c r="A78" s="180"/>
      <c r="B78" s="3"/>
      <c r="C78" s="3">
        <v>756</v>
      </c>
      <c r="D78" s="3"/>
      <c r="E78" s="4"/>
      <c r="F78" s="66"/>
      <c r="G78" s="60"/>
      <c r="H78" s="10"/>
      <c r="I78" s="16"/>
      <c r="J78" s="64"/>
      <c r="K78" s="60"/>
      <c r="L78" s="10"/>
      <c r="M78" s="16"/>
      <c r="N78" s="66"/>
      <c r="O78" s="67"/>
      <c r="P78" s="10"/>
      <c r="Q78" s="16"/>
      <c r="R78" s="66"/>
      <c r="S78" s="60"/>
      <c r="T78" s="10"/>
      <c r="U78" s="16"/>
      <c r="V78" s="66"/>
      <c r="W78" s="60"/>
      <c r="X78" s="10"/>
      <c r="Y78" s="16"/>
      <c r="Z78" s="66"/>
      <c r="AA78" s="60"/>
      <c r="AB78" s="10"/>
      <c r="AC78" s="19"/>
      <c r="AE78" s="180"/>
    </row>
    <row r="79" spans="1:31" x14ac:dyDescent="0.3">
      <c r="A79" s="180"/>
      <c r="B79" s="3"/>
      <c r="C79" s="3"/>
      <c r="D79" s="3"/>
      <c r="E79" s="4"/>
      <c r="F79" s="66"/>
      <c r="G79" s="60"/>
      <c r="H79" s="10"/>
      <c r="I79" s="16"/>
      <c r="J79" s="64"/>
      <c r="K79" s="60"/>
      <c r="L79" s="10"/>
      <c r="M79" s="16"/>
      <c r="N79" s="66"/>
      <c r="O79" s="67"/>
      <c r="P79" s="10"/>
      <c r="Q79" s="16"/>
      <c r="R79" s="66"/>
      <c r="S79" s="60"/>
      <c r="T79" s="10"/>
      <c r="U79" s="16"/>
      <c r="V79" s="66"/>
      <c r="W79" s="60"/>
      <c r="X79" s="10"/>
      <c r="Y79" s="16"/>
      <c r="Z79" s="66"/>
      <c r="AA79" s="60"/>
      <c r="AB79" s="10"/>
      <c r="AC79" s="19"/>
      <c r="AE79" s="180"/>
    </row>
    <row r="80" spans="1:31" x14ac:dyDescent="0.3">
      <c r="A80" s="180"/>
      <c r="B80" s="3" t="s">
        <v>482</v>
      </c>
      <c r="C80" s="3" t="s">
        <v>483</v>
      </c>
      <c r="D80" s="3"/>
      <c r="E80" s="4"/>
      <c r="F80" s="66"/>
      <c r="G80" s="60"/>
      <c r="H80" s="10"/>
      <c r="I80" s="16"/>
      <c r="J80" s="64"/>
      <c r="K80" s="60"/>
      <c r="L80" s="10"/>
      <c r="M80" s="16"/>
      <c r="N80" s="66"/>
      <c r="O80" s="67"/>
      <c r="P80" s="10"/>
      <c r="Q80" s="16"/>
      <c r="R80" s="66"/>
      <c r="S80" s="60"/>
      <c r="T80" s="10"/>
      <c r="U80" s="16"/>
      <c r="V80" s="66"/>
      <c r="W80" s="60"/>
      <c r="X80" s="10"/>
      <c r="Y80" s="16"/>
      <c r="Z80" s="66"/>
      <c r="AA80" s="60"/>
      <c r="AB80" s="10"/>
      <c r="AC80" s="19"/>
      <c r="AE80" s="180"/>
    </row>
    <row r="81" spans="1:31" x14ac:dyDescent="0.3">
      <c r="A81" s="180"/>
      <c r="B81" s="3" t="s">
        <v>484</v>
      </c>
      <c r="C81" s="3" t="s">
        <v>483</v>
      </c>
      <c r="D81" s="3"/>
      <c r="E81" s="4"/>
      <c r="F81" s="66"/>
      <c r="G81" s="60"/>
      <c r="H81" s="10"/>
      <c r="I81" s="16"/>
      <c r="J81" s="64"/>
      <c r="K81" s="60"/>
      <c r="L81" s="10"/>
      <c r="M81" s="16"/>
      <c r="N81" s="66"/>
      <c r="O81" s="67"/>
      <c r="P81" s="10"/>
      <c r="Q81" s="16"/>
      <c r="R81" s="66"/>
      <c r="S81" s="60"/>
      <c r="T81" s="10"/>
      <c r="U81" s="16"/>
      <c r="V81" s="66"/>
      <c r="W81" s="60"/>
      <c r="X81" s="10"/>
      <c r="Y81" s="16"/>
      <c r="Z81" s="66"/>
      <c r="AA81" s="60"/>
      <c r="AB81" s="10"/>
      <c r="AC81" s="19"/>
      <c r="AE81" s="180"/>
    </row>
    <row r="82" spans="1:31" x14ac:dyDescent="0.3">
      <c r="A82" s="180"/>
      <c r="B82" s="3" t="s">
        <v>485</v>
      </c>
      <c r="C82" s="3" t="s">
        <v>486</v>
      </c>
      <c r="D82" s="3"/>
      <c r="E82" s="4"/>
      <c r="F82" s="66"/>
      <c r="G82" s="60"/>
      <c r="H82" s="10"/>
      <c r="I82" s="16"/>
      <c r="J82" s="64"/>
      <c r="K82" s="60"/>
      <c r="L82" s="10"/>
      <c r="M82" s="16"/>
      <c r="N82" s="66"/>
      <c r="O82" s="67"/>
      <c r="P82" s="10"/>
      <c r="Q82" s="16"/>
      <c r="R82" s="66"/>
      <c r="S82" s="60"/>
      <c r="T82" s="10"/>
      <c r="U82" s="16"/>
      <c r="V82" s="66"/>
      <c r="W82" s="60"/>
      <c r="X82" s="10"/>
      <c r="Y82" s="16"/>
      <c r="Z82" s="66"/>
      <c r="AA82" s="60"/>
      <c r="AB82" s="10"/>
      <c r="AC82" s="19"/>
      <c r="AE82" s="180"/>
    </row>
    <row r="83" spans="1:31" x14ac:dyDescent="0.3">
      <c r="A83" s="180"/>
      <c r="B83" s="3" t="s">
        <v>487</v>
      </c>
      <c r="C83" s="3"/>
      <c r="D83" s="3"/>
      <c r="E83" s="4"/>
      <c r="F83" s="66"/>
      <c r="G83" s="60"/>
      <c r="H83" s="10"/>
      <c r="I83" s="16"/>
      <c r="J83" s="64"/>
      <c r="K83" s="60"/>
      <c r="L83" s="10"/>
      <c r="M83" s="16"/>
      <c r="N83" s="66"/>
      <c r="O83" s="67"/>
      <c r="P83" s="10"/>
      <c r="Q83" s="16"/>
      <c r="R83" s="66"/>
      <c r="S83" s="60"/>
      <c r="T83" s="10"/>
      <c r="U83" s="16"/>
      <c r="V83" s="66"/>
      <c r="W83" s="60"/>
      <c r="X83" s="10"/>
      <c r="Y83" s="16"/>
      <c r="Z83" s="66"/>
      <c r="AA83" s="60"/>
      <c r="AB83" s="10"/>
      <c r="AC83" s="19"/>
      <c r="AE83" s="180"/>
    </row>
    <row r="84" spans="1:31" x14ac:dyDescent="0.3">
      <c r="A84" s="180"/>
      <c r="B84" s="3"/>
      <c r="C84" s="3"/>
      <c r="D84" s="3"/>
      <c r="E84" s="4"/>
      <c r="F84" s="66"/>
      <c r="G84" s="60"/>
      <c r="H84" s="10"/>
      <c r="I84" s="16"/>
      <c r="J84" s="64"/>
      <c r="K84" s="60"/>
      <c r="L84" s="10"/>
      <c r="M84" s="16"/>
      <c r="N84" s="66"/>
      <c r="O84" s="67"/>
      <c r="P84" s="10"/>
      <c r="Q84" s="16"/>
      <c r="R84" s="66"/>
      <c r="S84" s="60"/>
      <c r="T84" s="10"/>
      <c r="U84" s="16"/>
      <c r="V84" s="66"/>
      <c r="W84" s="60"/>
      <c r="X84" s="10"/>
      <c r="Y84" s="16"/>
      <c r="Z84" s="66"/>
      <c r="AA84" s="60"/>
      <c r="AB84" s="10"/>
      <c r="AC84" s="19"/>
      <c r="AE84" s="180"/>
    </row>
    <row r="85" spans="1:31" x14ac:dyDescent="0.3">
      <c r="A85" s="180"/>
      <c r="B85" s="3"/>
      <c r="C85" s="3"/>
      <c r="D85" s="3"/>
      <c r="E85" s="4"/>
      <c r="F85" s="66"/>
      <c r="G85" s="60"/>
      <c r="H85" s="10"/>
      <c r="I85" s="16"/>
      <c r="J85" s="64"/>
      <c r="K85" s="60"/>
      <c r="L85" s="10"/>
      <c r="M85" s="16"/>
      <c r="N85" s="66"/>
      <c r="O85" s="67"/>
      <c r="P85" s="10"/>
      <c r="Q85" s="16"/>
      <c r="R85" s="66"/>
      <c r="S85" s="60"/>
      <c r="T85" s="10"/>
      <c r="U85" s="16"/>
      <c r="V85" s="66"/>
      <c r="W85" s="60"/>
      <c r="X85" s="10"/>
      <c r="Y85" s="16"/>
      <c r="Z85" s="66"/>
      <c r="AA85" s="60"/>
      <c r="AB85" s="10"/>
      <c r="AC85" s="19"/>
      <c r="AE85" s="180"/>
    </row>
    <row r="86" spans="1:31" x14ac:dyDescent="0.3">
      <c r="A86" s="180"/>
      <c r="B86" s="3"/>
      <c r="C86" s="3"/>
      <c r="D86" s="3"/>
      <c r="E86" s="4"/>
      <c r="F86" s="66"/>
      <c r="G86" s="60"/>
      <c r="H86" s="10"/>
      <c r="I86" s="16"/>
      <c r="J86" s="64"/>
      <c r="K86" s="60"/>
      <c r="L86" s="10"/>
      <c r="M86" s="16"/>
      <c r="N86" s="66"/>
      <c r="O86" s="67"/>
      <c r="P86" s="10"/>
      <c r="Q86" s="16"/>
      <c r="R86" s="66"/>
      <c r="S86" s="60"/>
      <c r="T86" s="10"/>
      <c r="U86" s="16"/>
      <c r="V86" s="66"/>
      <c r="W86" s="60"/>
      <c r="X86" s="10"/>
      <c r="Y86" s="16"/>
      <c r="Z86" s="66"/>
      <c r="AA86" s="60"/>
      <c r="AB86" s="10"/>
      <c r="AC86" s="19"/>
      <c r="AE86" s="180"/>
    </row>
    <row r="87" spans="1:31" x14ac:dyDescent="0.3">
      <c r="A87" s="180"/>
      <c r="B87" s="3"/>
      <c r="C87" s="3"/>
      <c r="D87" s="3"/>
      <c r="E87" s="4"/>
      <c r="F87" s="66"/>
      <c r="G87" s="60"/>
      <c r="H87" s="10"/>
      <c r="I87" s="16"/>
      <c r="J87" s="64"/>
      <c r="K87" s="60"/>
      <c r="L87" s="10"/>
      <c r="M87" s="16"/>
      <c r="N87" s="66"/>
      <c r="O87" s="67"/>
      <c r="P87" s="10"/>
      <c r="Q87" s="16"/>
      <c r="R87" s="66"/>
      <c r="S87" s="60"/>
      <c r="T87" s="10"/>
      <c r="U87" s="16"/>
      <c r="V87" s="66"/>
      <c r="W87" s="60"/>
      <c r="X87" s="10"/>
      <c r="Y87" s="16"/>
      <c r="Z87" s="66"/>
      <c r="AA87" s="60"/>
      <c r="AB87" s="10"/>
      <c r="AC87" s="19"/>
      <c r="AE87" s="180"/>
    </row>
    <row r="88" spans="1:31" x14ac:dyDescent="0.3">
      <c r="A88" s="180"/>
      <c r="B88" s="3"/>
      <c r="C88" s="3"/>
      <c r="D88" s="3"/>
      <c r="E88" s="4"/>
      <c r="F88" s="66"/>
      <c r="G88" s="60"/>
      <c r="H88" s="10"/>
      <c r="I88" s="16"/>
      <c r="J88" s="64"/>
      <c r="K88" s="60"/>
      <c r="L88" s="10"/>
      <c r="M88" s="16"/>
      <c r="N88" s="66"/>
      <c r="O88" s="67"/>
      <c r="P88" s="10"/>
      <c r="Q88" s="16"/>
      <c r="R88" s="66"/>
      <c r="S88" s="60"/>
      <c r="T88" s="10"/>
      <c r="U88" s="16"/>
      <c r="V88" s="66"/>
      <c r="W88" s="60"/>
      <c r="X88" s="10"/>
      <c r="Y88" s="16"/>
      <c r="Z88" s="66"/>
      <c r="AA88" s="60"/>
      <c r="AB88" s="10"/>
      <c r="AC88" s="19"/>
      <c r="AE88" s="180"/>
    </row>
    <row r="89" spans="1:31" x14ac:dyDescent="0.3">
      <c r="A89" s="180"/>
      <c r="B89" s="3"/>
      <c r="C89" s="3"/>
      <c r="D89" s="3"/>
      <c r="E89" s="4"/>
      <c r="F89" s="66"/>
      <c r="G89" s="60"/>
      <c r="H89" s="10"/>
      <c r="I89" s="16"/>
      <c r="J89" s="64"/>
      <c r="K89" s="60"/>
      <c r="L89" s="10"/>
      <c r="M89" s="16"/>
      <c r="N89" s="66"/>
      <c r="O89" s="67"/>
      <c r="P89" s="10"/>
      <c r="Q89" s="16"/>
      <c r="R89" s="66"/>
      <c r="S89" s="60"/>
      <c r="T89" s="10"/>
      <c r="U89" s="16"/>
      <c r="V89" s="66"/>
      <c r="W89" s="60"/>
      <c r="X89" s="10"/>
      <c r="Y89" s="16"/>
      <c r="Z89" s="66"/>
      <c r="AA89" s="60"/>
      <c r="AB89" s="10"/>
      <c r="AC89" s="19"/>
      <c r="AE89" s="180"/>
    </row>
    <row r="90" spans="1:31" x14ac:dyDescent="0.3">
      <c r="A90" s="180"/>
      <c r="B90" s="3"/>
      <c r="C90" s="3"/>
      <c r="D90" s="3"/>
      <c r="E90" s="4"/>
      <c r="F90" s="59"/>
      <c r="G90" s="60"/>
      <c r="H90" s="10"/>
      <c r="I90" s="16"/>
      <c r="J90" s="64"/>
      <c r="K90" s="60"/>
      <c r="L90" s="10"/>
      <c r="M90" s="16"/>
      <c r="N90" s="66"/>
      <c r="O90" s="67"/>
      <c r="P90" s="10"/>
      <c r="Q90" s="16"/>
      <c r="R90" s="66"/>
      <c r="S90" s="60"/>
      <c r="T90" s="10"/>
      <c r="U90" s="16"/>
      <c r="V90" s="66"/>
      <c r="W90" s="60"/>
      <c r="X90" s="10"/>
      <c r="Y90" s="16"/>
      <c r="Z90" s="66"/>
      <c r="AA90" s="60"/>
      <c r="AB90" s="10"/>
      <c r="AC90" s="19"/>
      <c r="AE90" s="180"/>
    </row>
    <row r="91" spans="1:31" x14ac:dyDescent="0.3">
      <c r="A91" s="180"/>
      <c r="B91" s="3"/>
      <c r="C91" s="3"/>
      <c r="D91" s="3"/>
      <c r="E91" s="4"/>
      <c r="F91" s="59"/>
      <c r="G91" s="60"/>
      <c r="H91" s="10"/>
      <c r="I91" s="16"/>
      <c r="J91" s="64"/>
      <c r="K91" s="60"/>
      <c r="L91" s="10"/>
      <c r="M91" s="16"/>
      <c r="N91" s="66"/>
      <c r="O91" s="67"/>
      <c r="P91" s="10"/>
      <c r="Q91" s="16"/>
      <c r="R91" s="66"/>
      <c r="S91" s="60"/>
      <c r="T91" s="10"/>
      <c r="U91" s="16"/>
      <c r="V91" s="66"/>
      <c r="W91" s="60"/>
      <c r="X91" s="10"/>
      <c r="Y91" s="16"/>
      <c r="Z91" s="66"/>
      <c r="AA91" s="60"/>
      <c r="AB91" s="10"/>
      <c r="AC91" s="19"/>
      <c r="AE91" s="180"/>
    </row>
    <row r="92" spans="1:31" x14ac:dyDescent="0.3">
      <c r="A92" s="180"/>
      <c r="B92" s="3"/>
      <c r="C92" s="3"/>
      <c r="D92" s="3"/>
      <c r="E92" s="4"/>
      <c r="F92" s="59"/>
      <c r="G92" s="60"/>
      <c r="H92" s="10"/>
      <c r="I92" s="16"/>
      <c r="J92" s="64"/>
      <c r="K92" s="60"/>
      <c r="L92" s="10"/>
      <c r="M92" s="16"/>
      <c r="N92" s="66"/>
      <c r="O92" s="67"/>
      <c r="P92" s="10"/>
      <c r="Q92" s="16"/>
      <c r="R92" s="66"/>
      <c r="S92" s="60"/>
      <c r="T92" s="10"/>
      <c r="U92" s="16"/>
      <c r="V92" s="66"/>
      <c r="W92" s="60"/>
      <c r="X92" s="10"/>
      <c r="Y92" s="16"/>
      <c r="Z92" s="66"/>
      <c r="AA92" s="60"/>
      <c r="AB92" s="10"/>
      <c r="AC92" s="19"/>
      <c r="AE92" s="180"/>
    </row>
    <row r="93" spans="1:31" x14ac:dyDescent="0.3">
      <c r="A93" s="180"/>
      <c r="B93" s="3"/>
      <c r="C93" s="3"/>
      <c r="D93" s="3"/>
      <c r="E93" s="4"/>
      <c r="F93" s="59"/>
      <c r="G93" s="60"/>
      <c r="H93" s="10"/>
      <c r="I93" s="16"/>
      <c r="J93" s="64"/>
      <c r="K93" s="60"/>
      <c r="L93" s="10"/>
      <c r="M93" s="16"/>
      <c r="N93" s="66"/>
      <c r="O93" s="67"/>
      <c r="P93" s="10"/>
      <c r="Q93" s="16"/>
      <c r="R93" s="66"/>
      <c r="S93" s="60"/>
      <c r="T93" s="10"/>
      <c r="U93" s="16"/>
      <c r="V93" s="66"/>
      <c r="W93" s="60"/>
      <c r="X93" s="10"/>
      <c r="Y93" s="16"/>
      <c r="Z93" s="66"/>
      <c r="AA93" s="60"/>
      <c r="AB93" s="10"/>
      <c r="AC93" s="19"/>
      <c r="AE93" s="180"/>
    </row>
    <row r="94" spans="1:31" x14ac:dyDescent="0.3">
      <c r="A94" s="180"/>
      <c r="B94" s="3"/>
      <c r="C94" s="3"/>
      <c r="D94" s="3"/>
      <c r="E94" s="4"/>
      <c r="F94" s="59"/>
      <c r="G94" s="60"/>
      <c r="H94" s="10"/>
      <c r="I94" s="16"/>
      <c r="J94" s="64"/>
      <c r="K94" s="60"/>
      <c r="L94" s="10"/>
      <c r="M94" s="16"/>
      <c r="N94" s="66"/>
      <c r="O94" s="67"/>
      <c r="P94" s="10"/>
      <c r="Q94" s="16"/>
      <c r="R94" s="66"/>
      <c r="S94" s="60"/>
      <c r="T94" s="10"/>
      <c r="U94" s="16"/>
      <c r="V94" s="66"/>
      <c r="W94" s="60"/>
      <c r="X94" s="10"/>
      <c r="Y94" s="16"/>
      <c r="Z94" s="66"/>
      <c r="AA94" s="60"/>
      <c r="AB94" s="10"/>
      <c r="AC94" s="19"/>
      <c r="AE94" s="180"/>
    </row>
    <row r="95" spans="1:31" x14ac:dyDescent="0.3">
      <c r="A95" s="180"/>
      <c r="B95" s="3"/>
      <c r="C95" s="3"/>
      <c r="D95" s="3"/>
      <c r="E95" s="4"/>
      <c r="F95" s="59"/>
      <c r="G95" s="60"/>
      <c r="H95" s="10"/>
      <c r="I95" s="16"/>
      <c r="J95" s="64"/>
      <c r="K95" s="60"/>
      <c r="L95" s="10"/>
      <c r="M95" s="16"/>
      <c r="N95" s="66"/>
      <c r="O95" s="67"/>
      <c r="P95" s="10"/>
      <c r="Q95" s="16"/>
      <c r="R95" s="66"/>
      <c r="S95" s="60"/>
      <c r="T95" s="10"/>
      <c r="U95" s="16"/>
      <c r="V95" s="66"/>
      <c r="W95" s="60"/>
      <c r="X95" s="10"/>
      <c r="Y95" s="16"/>
      <c r="Z95" s="66"/>
      <c r="AA95" s="60"/>
      <c r="AB95" s="10"/>
      <c r="AC95" s="19"/>
      <c r="AE95" s="180"/>
    </row>
    <row r="96" spans="1:31" x14ac:dyDescent="0.3">
      <c r="A96" s="180"/>
      <c r="B96" s="3"/>
      <c r="C96" s="3"/>
      <c r="D96" s="3"/>
      <c r="E96" s="4"/>
      <c r="F96" s="59"/>
      <c r="G96" s="60"/>
      <c r="H96" s="10"/>
      <c r="I96" s="16"/>
      <c r="J96" s="64"/>
      <c r="K96" s="60"/>
      <c r="L96" s="10"/>
      <c r="M96" s="16"/>
      <c r="N96" s="66"/>
      <c r="O96" s="67"/>
      <c r="P96" s="10"/>
      <c r="Q96" s="16"/>
      <c r="R96" s="66"/>
      <c r="S96" s="60"/>
      <c r="T96" s="10"/>
      <c r="U96" s="16"/>
      <c r="V96" s="66"/>
      <c r="W96" s="60"/>
      <c r="X96" s="10"/>
      <c r="Y96" s="16"/>
      <c r="Z96" s="66"/>
      <c r="AA96" s="60"/>
      <c r="AB96" s="10"/>
      <c r="AC96" s="19"/>
      <c r="AE96" s="180"/>
    </row>
    <row r="97" spans="1:31" x14ac:dyDescent="0.3">
      <c r="A97" s="180"/>
      <c r="B97" s="3"/>
      <c r="C97" s="3"/>
      <c r="D97" s="3"/>
      <c r="E97" s="4"/>
      <c r="F97" s="59"/>
      <c r="G97" s="60"/>
      <c r="H97" s="10"/>
      <c r="I97" s="16"/>
      <c r="J97" s="64"/>
      <c r="K97" s="60"/>
      <c r="L97" s="10"/>
      <c r="M97" s="16"/>
      <c r="N97" s="66"/>
      <c r="O97" s="67"/>
      <c r="P97" s="10"/>
      <c r="Q97" s="16"/>
      <c r="R97" s="66"/>
      <c r="S97" s="60"/>
      <c r="T97" s="10"/>
      <c r="U97" s="16"/>
      <c r="V97" s="66"/>
      <c r="W97" s="60"/>
      <c r="X97" s="10"/>
      <c r="Y97" s="16"/>
      <c r="Z97" s="66"/>
      <c r="AA97" s="60"/>
      <c r="AB97" s="10"/>
      <c r="AC97" s="19"/>
      <c r="AE97" s="180"/>
    </row>
    <row r="98" spans="1:31" x14ac:dyDescent="0.3">
      <c r="A98" s="180"/>
      <c r="B98" s="3"/>
      <c r="C98" s="3"/>
      <c r="D98" s="3"/>
      <c r="E98" s="4"/>
      <c r="F98" s="61"/>
      <c r="G98" s="60"/>
      <c r="H98" s="10"/>
      <c r="I98" s="16"/>
      <c r="J98" s="64"/>
      <c r="K98" s="60"/>
      <c r="L98" s="10"/>
      <c r="M98" s="16"/>
      <c r="N98" s="66"/>
      <c r="O98" s="67"/>
      <c r="P98" s="10"/>
      <c r="Q98" s="16"/>
      <c r="R98" s="66"/>
      <c r="S98" s="60"/>
      <c r="T98" s="10"/>
      <c r="U98" s="16"/>
      <c r="V98" s="66"/>
      <c r="W98" s="60"/>
      <c r="X98" s="10"/>
      <c r="Y98" s="16"/>
      <c r="Z98" s="66"/>
      <c r="AA98" s="60"/>
      <c r="AB98" s="10"/>
      <c r="AC98" s="19"/>
      <c r="AE98" s="180"/>
    </row>
    <row r="99" spans="1:31" x14ac:dyDescent="0.3">
      <c r="A99" s="180"/>
      <c r="B99" s="3"/>
      <c r="C99" s="3"/>
      <c r="D99" s="3"/>
      <c r="E99" s="4"/>
      <c r="F99" s="61"/>
      <c r="G99" s="60"/>
      <c r="H99" s="10"/>
      <c r="I99" s="16"/>
      <c r="J99" s="64"/>
      <c r="K99" s="60"/>
      <c r="L99" s="10"/>
      <c r="M99" s="16"/>
      <c r="N99" s="66"/>
      <c r="O99" s="67"/>
      <c r="P99" s="10"/>
      <c r="Q99" s="16"/>
      <c r="R99" s="66"/>
      <c r="S99" s="60"/>
      <c r="T99" s="10"/>
      <c r="U99" s="16"/>
      <c r="V99" s="66"/>
      <c r="W99" s="60"/>
      <c r="X99" s="10"/>
      <c r="Y99" s="16"/>
      <c r="Z99" s="66"/>
      <c r="AA99" s="60"/>
      <c r="AB99" s="10"/>
      <c r="AC99" s="19"/>
      <c r="AE99" s="180"/>
    </row>
    <row r="100" spans="1:31" x14ac:dyDescent="0.3">
      <c r="A100" s="180"/>
      <c r="B100" s="3"/>
      <c r="C100" s="3"/>
      <c r="D100" s="3"/>
      <c r="E100" s="4"/>
      <c r="F100" s="61"/>
      <c r="G100" s="60"/>
      <c r="H100" s="10"/>
      <c r="I100" s="16"/>
      <c r="J100" s="64"/>
      <c r="K100" s="60"/>
      <c r="L100" s="10"/>
      <c r="M100" s="16"/>
      <c r="N100" s="66"/>
      <c r="O100" s="67"/>
      <c r="P100" s="10"/>
      <c r="Q100" s="16"/>
      <c r="R100" s="66"/>
      <c r="S100" s="60"/>
      <c r="T100" s="10"/>
      <c r="U100" s="16"/>
      <c r="V100" s="66"/>
      <c r="W100" s="60"/>
      <c r="X100" s="10"/>
      <c r="Y100" s="16"/>
      <c r="Z100" s="66"/>
      <c r="AA100" s="60"/>
      <c r="AB100" s="10"/>
      <c r="AC100" s="19"/>
      <c r="AE100" s="180"/>
    </row>
    <row r="101" spans="1:31" x14ac:dyDescent="0.3">
      <c r="A101" s="180"/>
      <c r="B101" s="3"/>
      <c r="C101" s="3"/>
      <c r="D101" s="3"/>
      <c r="E101" s="4"/>
      <c r="F101" s="61"/>
      <c r="G101" s="60"/>
      <c r="H101" s="10"/>
      <c r="I101" s="16"/>
      <c r="J101" s="64"/>
      <c r="K101" s="60"/>
      <c r="L101" s="10"/>
      <c r="M101" s="16"/>
      <c r="N101" s="66"/>
      <c r="O101" s="67"/>
      <c r="P101" s="10"/>
      <c r="Q101" s="16"/>
      <c r="R101" s="66"/>
      <c r="S101" s="60"/>
      <c r="T101" s="10"/>
      <c r="U101" s="16"/>
      <c r="V101" s="66"/>
      <c r="W101" s="60"/>
      <c r="X101" s="10"/>
      <c r="Y101" s="16"/>
      <c r="Z101" s="66"/>
      <c r="AA101" s="60"/>
      <c r="AB101" s="10"/>
      <c r="AC101" s="19"/>
      <c r="AE101" s="180"/>
    </row>
    <row r="102" spans="1:31" x14ac:dyDescent="0.3">
      <c r="A102" s="180"/>
      <c r="B102" s="3"/>
      <c r="C102" s="3"/>
      <c r="D102" s="3"/>
      <c r="E102" s="4"/>
      <c r="F102" s="59"/>
      <c r="G102" s="60"/>
      <c r="H102" s="10"/>
      <c r="I102" s="16"/>
      <c r="J102" s="64"/>
      <c r="K102" s="60"/>
      <c r="L102" s="10"/>
      <c r="M102" s="16"/>
      <c r="N102" s="66"/>
      <c r="O102" s="67"/>
      <c r="P102" s="10"/>
      <c r="Q102" s="16"/>
      <c r="R102" s="66"/>
      <c r="S102" s="60"/>
      <c r="T102" s="10"/>
      <c r="U102" s="16"/>
      <c r="V102" s="66"/>
      <c r="W102" s="60"/>
      <c r="X102" s="10"/>
      <c r="Y102" s="16"/>
      <c r="Z102" s="66"/>
      <c r="AA102" s="60"/>
      <c r="AB102" s="10"/>
      <c r="AC102" s="19"/>
      <c r="AE102" s="180"/>
    </row>
    <row r="103" spans="1:31" x14ac:dyDescent="0.3">
      <c r="A103" s="180"/>
      <c r="B103" s="3"/>
      <c r="C103" s="3"/>
      <c r="D103" s="3"/>
      <c r="E103" s="4"/>
      <c r="F103" s="59"/>
      <c r="G103" s="60"/>
      <c r="H103" s="10"/>
      <c r="I103" s="16"/>
      <c r="J103" s="64"/>
      <c r="K103" s="60"/>
      <c r="L103" s="10"/>
      <c r="M103" s="16"/>
      <c r="N103" s="66"/>
      <c r="O103" s="67"/>
      <c r="P103" s="10"/>
      <c r="Q103" s="16"/>
      <c r="R103" s="66"/>
      <c r="S103" s="60"/>
      <c r="T103" s="10"/>
      <c r="U103" s="16"/>
      <c r="V103" s="66"/>
      <c r="W103" s="60"/>
      <c r="X103" s="10"/>
      <c r="Y103" s="16"/>
      <c r="Z103" s="66"/>
      <c r="AA103" s="60"/>
      <c r="AB103" s="10"/>
      <c r="AC103" s="19"/>
      <c r="AE103" s="180"/>
    </row>
    <row r="104" spans="1:31" x14ac:dyDescent="0.3">
      <c r="A104" s="180"/>
      <c r="B104" s="3"/>
      <c r="C104" s="3"/>
      <c r="D104" s="3"/>
      <c r="E104" s="4"/>
      <c r="F104" s="59"/>
      <c r="G104" s="60"/>
      <c r="H104" s="10"/>
      <c r="I104" s="16"/>
      <c r="J104" s="64"/>
      <c r="K104" s="60"/>
      <c r="L104" s="10"/>
      <c r="M104" s="16"/>
      <c r="N104" s="66"/>
      <c r="O104" s="67"/>
      <c r="P104" s="10"/>
      <c r="Q104" s="16"/>
      <c r="R104" s="66"/>
      <c r="S104" s="60"/>
      <c r="T104" s="10"/>
      <c r="U104" s="16"/>
      <c r="V104" s="66"/>
      <c r="W104" s="60"/>
      <c r="X104" s="10"/>
      <c r="Y104" s="16"/>
      <c r="Z104" s="66"/>
      <c r="AA104" s="60"/>
      <c r="AB104" s="10"/>
      <c r="AC104" s="19"/>
      <c r="AE104" s="180"/>
    </row>
    <row r="105" spans="1:31" x14ac:dyDescent="0.3">
      <c r="A105" s="180"/>
      <c r="B105" s="3"/>
      <c r="C105" s="3"/>
      <c r="D105" s="3"/>
      <c r="E105" s="4"/>
      <c r="F105" s="59"/>
      <c r="G105" s="60"/>
      <c r="H105" s="10"/>
      <c r="I105" s="16"/>
      <c r="J105" s="64"/>
      <c r="K105" s="60"/>
      <c r="L105" s="10"/>
      <c r="M105" s="16"/>
      <c r="N105" s="66"/>
      <c r="O105" s="67"/>
      <c r="P105" s="10"/>
      <c r="Q105" s="16"/>
      <c r="R105" s="66"/>
      <c r="S105" s="60"/>
      <c r="T105" s="10"/>
      <c r="U105" s="16"/>
      <c r="V105" s="66"/>
      <c r="W105" s="60"/>
      <c r="X105" s="10"/>
      <c r="Y105" s="16"/>
      <c r="Z105" s="66"/>
      <c r="AA105" s="60"/>
      <c r="AB105" s="10"/>
      <c r="AC105" s="19"/>
      <c r="AE105" s="180"/>
    </row>
    <row r="106" spans="1:31" x14ac:dyDescent="0.3">
      <c r="A106" s="180"/>
      <c r="B106" s="3"/>
      <c r="C106" s="3"/>
      <c r="D106" s="3"/>
      <c r="E106" s="4"/>
      <c r="F106" s="59"/>
      <c r="G106" s="60"/>
      <c r="H106" s="10"/>
      <c r="I106" s="16"/>
      <c r="J106" s="64"/>
      <c r="K106" s="60"/>
      <c r="L106" s="10"/>
      <c r="M106" s="16"/>
      <c r="N106" s="66"/>
      <c r="O106" s="67"/>
      <c r="P106" s="10"/>
      <c r="Q106" s="16"/>
      <c r="R106" s="66"/>
      <c r="S106" s="60"/>
      <c r="T106" s="10"/>
      <c r="U106" s="16"/>
      <c r="V106" s="66"/>
      <c r="W106" s="60"/>
      <c r="X106" s="10"/>
      <c r="Y106" s="16"/>
      <c r="Z106" s="66"/>
      <c r="AA106" s="60"/>
      <c r="AB106" s="10"/>
      <c r="AC106" s="19"/>
      <c r="AE106" s="180"/>
    </row>
    <row r="107" spans="1:31" x14ac:dyDescent="0.3">
      <c r="A107" s="180"/>
      <c r="B107" s="3"/>
      <c r="C107" s="3"/>
      <c r="D107" s="3"/>
      <c r="E107" s="4"/>
      <c r="F107" s="59"/>
      <c r="G107" s="60"/>
      <c r="H107" s="10"/>
      <c r="I107" s="16"/>
      <c r="J107" s="64"/>
      <c r="K107" s="60"/>
      <c r="L107" s="10"/>
      <c r="M107" s="16"/>
      <c r="N107" s="66"/>
      <c r="O107" s="67"/>
      <c r="P107" s="10"/>
      <c r="Q107" s="16"/>
      <c r="R107" s="66"/>
      <c r="S107" s="60"/>
      <c r="T107" s="10"/>
      <c r="U107" s="16"/>
      <c r="V107" s="66"/>
      <c r="W107" s="60"/>
      <c r="X107" s="10"/>
      <c r="Y107" s="16"/>
      <c r="Z107" s="66"/>
      <c r="AA107" s="60"/>
      <c r="AB107" s="10"/>
      <c r="AC107" s="19"/>
      <c r="AE107" s="180"/>
    </row>
    <row r="108" spans="1:31" x14ac:dyDescent="0.3">
      <c r="A108" s="180"/>
      <c r="B108" s="3"/>
      <c r="C108" s="3"/>
      <c r="D108" s="3"/>
      <c r="E108" s="4"/>
      <c r="F108" s="59"/>
      <c r="G108" s="60"/>
      <c r="H108" s="10"/>
      <c r="I108" s="16"/>
      <c r="J108" s="64"/>
      <c r="K108" s="60"/>
      <c r="L108" s="10"/>
      <c r="M108" s="16"/>
      <c r="N108" s="66"/>
      <c r="O108" s="67"/>
      <c r="P108" s="10"/>
      <c r="Q108" s="16"/>
      <c r="R108" s="66"/>
      <c r="S108" s="60"/>
      <c r="T108" s="10"/>
      <c r="U108" s="16"/>
      <c r="V108" s="66"/>
      <c r="W108" s="60"/>
      <c r="X108" s="10"/>
      <c r="Y108" s="16"/>
      <c r="Z108" s="66"/>
      <c r="AA108" s="60"/>
      <c r="AB108" s="10"/>
      <c r="AC108" s="19"/>
      <c r="AE108" s="180"/>
    </row>
    <row r="109" spans="1:31" x14ac:dyDescent="0.3">
      <c r="A109" s="180"/>
      <c r="B109" s="3"/>
      <c r="C109" s="3"/>
      <c r="D109" s="3"/>
      <c r="E109" s="4"/>
      <c r="F109" s="59"/>
      <c r="G109" s="60"/>
      <c r="H109" s="10"/>
      <c r="I109" s="16"/>
      <c r="J109" s="64"/>
      <c r="K109" s="60"/>
      <c r="L109" s="10"/>
      <c r="M109" s="16"/>
      <c r="N109" s="66"/>
      <c r="O109" s="67"/>
      <c r="P109" s="10"/>
      <c r="Q109" s="16"/>
      <c r="R109" s="66"/>
      <c r="S109" s="60"/>
      <c r="T109" s="10"/>
      <c r="U109" s="16"/>
      <c r="V109" s="66"/>
      <c r="W109" s="60"/>
      <c r="X109" s="10"/>
      <c r="Y109" s="16"/>
      <c r="Z109" s="66"/>
      <c r="AA109" s="60"/>
      <c r="AB109" s="10"/>
      <c r="AC109" s="19"/>
      <c r="AE109" s="180"/>
    </row>
    <row r="110" spans="1:31" x14ac:dyDescent="0.3">
      <c r="A110" s="180"/>
      <c r="B110" s="3"/>
      <c r="C110" s="3"/>
      <c r="D110" s="3"/>
      <c r="E110" s="4"/>
      <c r="F110" s="59"/>
      <c r="G110" s="60"/>
      <c r="H110" s="10"/>
      <c r="I110" s="16"/>
      <c r="J110" s="64"/>
      <c r="K110" s="60"/>
      <c r="L110" s="10"/>
      <c r="M110" s="16"/>
      <c r="N110" s="66"/>
      <c r="O110" s="67"/>
      <c r="P110" s="10"/>
      <c r="Q110" s="16"/>
      <c r="R110" s="66"/>
      <c r="S110" s="60"/>
      <c r="T110" s="10"/>
      <c r="U110" s="16"/>
      <c r="V110" s="66"/>
      <c r="W110" s="60"/>
      <c r="X110" s="10"/>
      <c r="Y110" s="16"/>
      <c r="Z110" s="66"/>
      <c r="AA110" s="60"/>
      <c r="AB110" s="10"/>
      <c r="AC110" s="19"/>
      <c r="AE110" s="180"/>
    </row>
    <row r="111" spans="1:31" x14ac:dyDescent="0.3">
      <c r="A111" s="180"/>
      <c r="B111" s="3"/>
      <c r="C111" s="3"/>
      <c r="D111" s="3"/>
      <c r="E111" s="4"/>
      <c r="F111" s="59"/>
      <c r="G111" s="60"/>
      <c r="H111" s="10"/>
      <c r="I111" s="16"/>
      <c r="J111" s="64"/>
      <c r="K111" s="60"/>
      <c r="L111" s="10"/>
      <c r="M111" s="16"/>
      <c r="N111" s="66"/>
      <c r="O111" s="67"/>
      <c r="P111" s="10"/>
      <c r="Q111" s="16"/>
      <c r="R111" s="66"/>
      <c r="S111" s="60"/>
      <c r="T111" s="10"/>
      <c r="U111" s="16"/>
      <c r="V111" s="66"/>
      <c r="W111" s="60"/>
      <c r="X111" s="10"/>
      <c r="Y111" s="16"/>
      <c r="Z111" s="66"/>
      <c r="AA111" s="60"/>
      <c r="AB111" s="10"/>
      <c r="AC111" s="19"/>
      <c r="AE111" s="180"/>
    </row>
    <row r="112" spans="1:31" x14ac:dyDescent="0.3">
      <c r="A112" s="180"/>
      <c r="B112" s="3"/>
      <c r="C112" s="3"/>
      <c r="D112" s="3"/>
      <c r="E112" s="4"/>
      <c r="F112" s="59"/>
      <c r="G112" s="60"/>
      <c r="H112" s="10"/>
      <c r="I112" s="16"/>
      <c r="J112" s="64"/>
      <c r="K112" s="60"/>
      <c r="L112" s="10"/>
      <c r="M112" s="16"/>
      <c r="N112" s="66"/>
      <c r="O112" s="67"/>
      <c r="P112" s="10"/>
      <c r="Q112" s="16"/>
      <c r="R112" s="66"/>
      <c r="S112" s="60"/>
      <c r="T112" s="10"/>
      <c r="U112" s="16"/>
      <c r="V112" s="66"/>
      <c r="W112" s="60"/>
      <c r="X112" s="10"/>
      <c r="Y112" s="16"/>
      <c r="Z112" s="66"/>
      <c r="AA112" s="60"/>
      <c r="AB112" s="10"/>
      <c r="AC112" s="19"/>
      <c r="AE112" s="180"/>
    </row>
    <row r="113" spans="1:42" x14ac:dyDescent="0.3">
      <c r="A113" s="180"/>
      <c r="B113" s="3"/>
      <c r="C113" s="3"/>
      <c r="D113" s="3"/>
      <c r="E113" s="4"/>
      <c r="F113" s="59"/>
      <c r="G113" s="60"/>
      <c r="H113" s="10"/>
      <c r="I113" s="16"/>
      <c r="J113" s="64"/>
      <c r="K113" s="60"/>
      <c r="L113" s="10"/>
      <c r="M113" s="16"/>
      <c r="N113" s="66"/>
      <c r="O113" s="67"/>
      <c r="P113" s="10"/>
      <c r="Q113" s="16"/>
      <c r="R113" s="66"/>
      <c r="S113" s="60"/>
      <c r="T113" s="10"/>
      <c r="U113" s="16"/>
      <c r="V113" s="66"/>
      <c r="W113" s="60"/>
      <c r="X113" s="10"/>
      <c r="Y113" s="16"/>
      <c r="Z113" s="66"/>
      <c r="AA113" s="60"/>
      <c r="AB113" s="10"/>
      <c r="AC113" s="19"/>
      <c r="AE113" s="180"/>
    </row>
    <row r="114" spans="1:42" x14ac:dyDescent="0.3">
      <c r="A114" s="180"/>
      <c r="B114" s="3"/>
      <c r="C114" s="3"/>
      <c r="D114" s="3"/>
      <c r="E114" s="4"/>
      <c r="F114" s="59"/>
      <c r="G114" s="60"/>
      <c r="H114" s="10"/>
      <c r="I114" s="16"/>
      <c r="J114" s="64"/>
      <c r="K114" s="60"/>
      <c r="L114" s="10"/>
      <c r="M114" s="16"/>
      <c r="N114" s="66"/>
      <c r="O114" s="67"/>
      <c r="P114" s="10"/>
      <c r="Q114" s="16"/>
      <c r="R114" s="66"/>
      <c r="S114" s="60"/>
      <c r="T114" s="10"/>
      <c r="U114" s="16"/>
      <c r="V114" s="66"/>
      <c r="W114" s="60"/>
      <c r="X114" s="10"/>
      <c r="Y114" s="16"/>
      <c r="Z114" s="66"/>
      <c r="AA114" s="60"/>
      <c r="AB114" s="10"/>
      <c r="AC114" s="19"/>
      <c r="AE114" s="180"/>
    </row>
    <row r="115" spans="1:42" x14ac:dyDescent="0.3">
      <c r="A115" s="180"/>
      <c r="B115" s="3"/>
      <c r="C115" s="3"/>
      <c r="D115" s="3"/>
      <c r="E115" s="4"/>
      <c r="F115" s="59"/>
      <c r="G115" s="60"/>
      <c r="H115" s="10"/>
      <c r="I115" s="16"/>
      <c r="J115" s="64"/>
      <c r="K115" s="60"/>
      <c r="L115" s="10"/>
      <c r="M115" s="16"/>
      <c r="N115" s="66"/>
      <c r="O115" s="67"/>
      <c r="P115" s="10"/>
      <c r="Q115" s="16"/>
      <c r="R115" s="66"/>
      <c r="S115" s="60"/>
      <c r="T115" s="10"/>
      <c r="U115" s="16"/>
      <c r="V115" s="66"/>
      <c r="W115" s="60"/>
      <c r="X115" s="10"/>
      <c r="Y115" s="16"/>
      <c r="Z115" s="66"/>
      <c r="AA115" s="60"/>
      <c r="AB115" s="10"/>
      <c r="AC115" s="19"/>
      <c r="AE115" s="180"/>
    </row>
    <row r="116" spans="1:42" x14ac:dyDescent="0.3">
      <c r="A116" s="180"/>
      <c r="B116" s="3"/>
      <c r="C116" s="3"/>
      <c r="D116" s="3"/>
      <c r="E116" s="4"/>
      <c r="F116" s="59"/>
      <c r="G116" s="60"/>
      <c r="H116" s="10"/>
      <c r="I116" s="16"/>
      <c r="J116" s="64"/>
      <c r="K116" s="60"/>
      <c r="L116" s="10"/>
      <c r="M116" s="16"/>
      <c r="N116" s="66"/>
      <c r="O116" s="67"/>
      <c r="P116" s="10"/>
      <c r="Q116" s="16"/>
      <c r="R116" s="66"/>
      <c r="S116" s="60"/>
      <c r="T116" s="10"/>
      <c r="U116" s="16"/>
      <c r="V116" s="66"/>
      <c r="W116" s="60"/>
      <c r="X116" s="10"/>
      <c r="Y116" s="16"/>
      <c r="Z116" s="66"/>
      <c r="AA116" s="60"/>
      <c r="AB116" s="10"/>
      <c r="AC116" s="19"/>
      <c r="AE116" s="180"/>
    </row>
    <row r="117" spans="1:42" x14ac:dyDescent="0.3">
      <c r="A117" s="180"/>
      <c r="B117" s="3"/>
      <c r="C117" s="3"/>
      <c r="D117" s="3"/>
      <c r="E117" s="4"/>
      <c r="F117" s="59"/>
      <c r="G117" s="60"/>
      <c r="H117" s="10"/>
      <c r="I117" s="16"/>
      <c r="J117" s="64"/>
      <c r="K117" s="60"/>
      <c r="L117" s="10"/>
      <c r="M117" s="16"/>
      <c r="N117" s="66"/>
      <c r="O117" s="67"/>
      <c r="P117" s="10"/>
      <c r="Q117" s="16"/>
      <c r="R117" s="66"/>
      <c r="S117" s="60"/>
      <c r="T117" s="10"/>
      <c r="U117" s="16"/>
      <c r="V117" s="66"/>
      <c r="W117" s="60"/>
      <c r="X117" s="10"/>
      <c r="Y117" s="16"/>
      <c r="Z117" s="66"/>
      <c r="AA117" s="60"/>
      <c r="AB117" s="10"/>
      <c r="AC117" s="19"/>
      <c r="AE117" s="180"/>
    </row>
    <row r="118" spans="1:42" ht="16.2" customHeight="1" thickBot="1" x14ac:dyDescent="0.35">
      <c r="A118" s="180"/>
      <c r="B118" s="6"/>
      <c r="C118" s="6"/>
      <c r="D118" s="6"/>
      <c r="E118" s="5"/>
      <c r="F118" s="62"/>
      <c r="G118" s="63"/>
      <c r="H118" s="11"/>
      <c r="I118" s="17"/>
      <c r="J118" s="65"/>
      <c r="K118" s="63"/>
      <c r="L118" s="11"/>
      <c r="M118" s="17"/>
      <c r="N118" s="68"/>
      <c r="O118" s="69"/>
      <c r="P118" s="11"/>
      <c r="Q118" s="17"/>
      <c r="R118" s="68"/>
      <c r="S118" s="63"/>
      <c r="T118" s="11"/>
      <c r="U118" s="17"/>
      <c r="V118" s="68"/>
      <c r="W118" s="63"/>
      <c r="X118" s="11"/>
      <c r="Y118" s="17"/>
      <c r="Z118" s="68"/>
      <c r="AA118" s="63"/>
      <c r="AB118" s="11"/>
      <c r="AC118" s="20"/>
      <c r="AE118" s="180"/>
    </row>
    <row r="119" spans="1:42" x14ac:dyDescent="0.3">
      <c r="F119" s="8"/>
    </row>
    <row r="120" spans="1:42" x14ac:dyDescent="0.3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S120" s="30"/>
      <c r="U120" s="30"/>
      <c r="W120" s="30"/>
      <c r="Y120" s="30"/>
      <c r="AA120" s="30"/>
      <c r="AC120" s="30"/>
    </row>
    <row r="121" spans="1:42" x14ac:dyDescent="0.3">
      <c r="A121" s="21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</row>
    <row r="122" spans="1:42" x14ac:dyDescent="0.3">
      <c r="A122" s="21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</row>
    <row r="123" spans="1:42" x14ac:dyDescent="0.3">
      <c r="A123" s="21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</row>
    <row r="124" spans="1:42" x14ac:dyDescent="0.3">
      <c r="A124" s="21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</row>
    <row r="125" spans="1:42" x14ac:dyDescent="0.3">
      <c r="A125" s="21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</row>
    <row r="126" spans="1:42" x14ac:dyDescent="0.3">
      <c r="A126" s="21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</row>
    <row r="127" spans="1:42" x14ac:dyDescent="0.3">
      <c r="A127" s="21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</row>
    <row r="128" spans="1:42" x14ac:dyDescent="0.3">
      <c r="A128" s="21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</row>
    <row r="129" spans="1:42" x14ac:dyDescent="0.3">
      <c r="A129" s="21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</row>
    <row r="130" spans="1:42" x14ac:dyDescent="0.3">
      <c r="A130" s="21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</row>
    <row r="131" spans="1:42" x14ac:dyDescent="0.3">
      <c r="A131" s="21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</row>
    <row r="132" spans="1:42" x14ac:dyDescent="0.3">
      <c r="A132" s="21"/>
      <c r="K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</row>
    <row r="133" spans="1:42" x14ac:dyDescent="0.3">
      <c r="A133" s="21"/>
    </row>
    <row r="134" spans="1:42" x14ac:dyDescent="0.3">
      <c r="A134" s="21"/>
    </row>
    <row r="135" spans="1:42" x14ac:dyDescent="0.3">
      <c r="A135" s="21"/>
    </row>
    <row r="136" spans="1:42" x14ac:dyDescent="0.3">
      <c r="A136" s="21"/>
    </row>
    <row r="137" spans="1:42" x14ac:dyDescent="0.3">
      <c r="A137" s="21"/>
    </row>
    <row r="138" spans="1:42" x14ac:dyDescent="0.3">
      <c r="A138" s="21"/>
    </row>
    <row r="139" spans="1:42" x14ac:dyDescent="0.3">
      <c r="A139" s="21"/>
    </row>
    <row r="140" spans="1:42" x14ac:dyDescent="0.3">
      <c r="A140" s="21"/>
    </row>
    <row r="141" spans="1:42" x14ac:dyDescent="0.3">
      <c r="A141" s="21"/>
    </row>
    <row r="142" spans="1:42" x14ac:dyDescent="0.3">
      <c r="A142" s="21"/>
    </row>
    <row r="143" spans="1:42" x14ac:dyDescent="0.3">
      <c r="A143" s="21"/>
    </row>
    <row r="144" spans="1:42" x14ac:dyDescent="0.3">
      <c r="A144" s="21"/>
    </row>
    <row r="145" spans="1:1" x14ac:dyDescent="0.3">
      <c r="A145" s="21"/>
    </row>
    <row r="146" spans="1:1" x14ac:dyDescent="0.3">
      <c r="A146" s="21"/>
    </row>
    <row r="147" spans="1:1" x14ac:dyDescent="0.3">
      <c r="A147" s="21"/>
    </row>
    <row r="148" spans="1:1" x14ac:dyDescent="0.3">
      <c r="A148" s="21"/>
    </row>
    <row r="149" spans="1:1" x14ac:dyDescent="0.3">
      <c r="A149" s="21"/>
    </row>
    <row r="150" spans="1:1" x14ac:dyDescent="0.3">
      <c r="A150" s="21"/>
    </row>
    <row r="151" spans="1:1" x14ac:dyDescent="0.3">
      <c r="A151" s="21"/>
    </row>
    <row r="152" spans="1:1" x14ac:dyDescent="0.3">
      <c r="A152" s="21"/>
    </row>
    <row r="153" spans="1:1" x14ac:dyDescent="0.3">
      <c r="A153" s="21"/>
    </row>
    <row r="154" spans="1:1" x14ac:dyDescent="0.3">
      <c r="A154" s="21"/>
    </row>
    <row r="155" spans="1:1" x14ac:dyDescent="0.3">
      <c r="A155" s="21"/>
    </row>
    <row r="156" spans="1:1" x14ac:dyDescent="0.3">
      <c r="A156" s="21"/>
    </row>
    <row r="157" spans="1:1" x14ac:dyDescent="0.3">
      <c r="A157" s="21"/>
    </row>
    <row r="158" spans="1:1" x14ac:dyDescent="0.3">
      <c r="A158" s="21"/>
    </row>
    <row r="159" spans="1:1" x14ac:dyDescent="0.3">
      <c r="A159" s="21"/>
    </row>
    <row r="160" spans="1:1" x14ac:dyDescent="0.3">
      <c r="A160" s="21"/>
    </row>
    <row r="161" spans="1:1" x14ac:dyDescent="0.3">
      <c r="A161" s="21"/>
    </row>
    <row r="162" spans="1:1" x14ac:dyDescent="0.3">
      <c r="A162" s="21"/>
    </row>
    <row r="163" spans="1:1" x14ac:dyDescent="0.3">
      <c r="A163" s="21"/>
    </row>
    <row r="164" spans="1:1" x14ac:dyDescent="0.3">
      <c r="A164" s="21"/>
    </row>
    <row r="165" spans="1:1" x14ac:dyDescent="0.3">
      <c r="A165" s="21"/>
    </row>
    <row r="166" spans="1:1" x14ac:dyDescent="0.3">
      <c r="A166" s="21"/>
    </row>
    <row r="167" spans="1:1" x14ac:dyDescent="0.3">
      <c r="A167" s="21"/>
    </row>
    <row r="168" spans="1:1" x14ac:dyDescent="0.3">
      <c r="A168" s="21"/>
    </row>
    <row r="169" spans="1:1" x14ac:dyDescent="0.3">
      <c r="A169" s="21"/>
    </row>
    <row r="170" spans="1:1" x14ac:dyDescent="0.3">
      <c r="A170" s="21"/>
    </row>
    <row r="171" spans="1:1" x14ac:dyDescent="0.3">
      <c r="A171" s="21"/>
    </row>
  </sheetData>
  <mergeCells count="32">
    <mergeCell ref="AB4:AB5"/>
    <mergeCell ref="E4:E5"/>
    <mergeCell ref="O4:O5"/>
    <mergeCell ref="AA4:AA5"/>
    <mergeCell ref="J4:J5"/>
    <mergeCell ref="R4:R5"/>
    <mergeCell ref="T4:T5"/>
    <mergeCell ref="X4:X5"/>
    <mergeCell ref="Z4:Z5"/>
    <mergeCell ref="C4:C5"/>
    <mergeCell ref="V4:V5"/>
    <mergeCell ref="K4:K5"/>
    <mergeCell ref="S4:S5"/>
    <mergeCell ref="U4:U5"/>
    <mergeCell ref="G4:G5"/>
    <mergeCell ref="I4:I5"/>
    <mergeCell ref="A1:B1"/>
    <mergeCell ref="Q4:Q5"/>
    <mergeCell ref="A4:A118"/>
    <mergeCell ref="D4:D5"/>
    <mergeCell ref="AG4:AL4"/>
    <mergeCell ref="M4:M5"/>
    <mergeCell ref="B4:B5"/>
    <mergeCell ref="W4:W5"/>
    <mergeCell ref="F4:F5"/>
    <mergeCell ref="Y4:Y5"/>
    <mergeCell ref="N4:N5"/>
    <mergeCell ref="H4:H5"/>
    <mergeCell ref="P4:P5"/>
    <mergeCell ref="AC4:AC5"/>
    <mergeCell ref="L4:L5"/>
    <mergeCell ref="AE4:AE1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Water</vt:lpstr>
      <vt:lpstr>Verifying Water Meters</vt:lpstr>
      <vt:lpstr>Electricity</vt:lpstr>
      <vt:lpstr>Natural Gas</vt:lpstr>
      <vt:lpstr>Wastewater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Nghi Le</dc:creator>
  <cp:keywords/>
  <dc:description/>
  <cp:lastModifiedBy>Levi S Goldberg</cp:lastModifiedBy>
  <cp:revision/>
  <dcterms:created xsi:type="dcterms:W3CDTF">2024-02-28T06:46:18Z</dcterms:created>
  <dcterms:modified xsi:type="dcterms:W3CDTF">2026-04-02T17:58:09Z</dcterms:modified>
  <cp:category/>
  <cp:contentStatus/>
</cp:coreProperties>
</file>